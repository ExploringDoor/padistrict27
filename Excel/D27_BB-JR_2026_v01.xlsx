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movable Disk\JB_Flash_Drive\Jeff\ELL_2026\PA_District_27\All_Stars\Schedules\International Tournaments\"/>
    </mc:Choice>
  </mc:AlternateContent>
  <xr:revisionPtr revIDLastSave="0" documentId="13_ncr:1_{FD258190-E13E-4DC4-A138-B85D6D4A27F3}" xr6:coauthVersionLast="47" xr6:coauthVersionMax="47" xr10:uidLastSave="{00000000-0000-0000-0000-000000000000}"/>
  <bookViews>
    <workbookView xWindow="-103" yWindow="-103" windowWidth="27634" windowHeight="16629" activeTab="1" xr2:uid="{A8308796-E3D6-4BAC-BFF3-BDD58D20EA08}"/>
  </bookViews>
  <sheets>
    <sheet name="SCHEDULE" sheetId="1" r:id="rId1"/>
    <sheet name="BRACKET" sheetId="2" r:id="rId2"/>
    <sheet name="D27" sheetId="3" state="hidden" r:id="rId3"/>
  </sheets>
  <definedNames>
    <definedName name="_xlnm.Print_Titles" localSheetId="0">SCHEDULE!$1:$1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D11" i="2"/>
  <c r="C7" i="2"/>
  <c r="B5" i="2"/>
  <c r="A4" i="2"/>
  <c r="M6" i="3"/>
  <c r="L6" i="3"/>
  <c r="I6" i="3"/>
  <c r="E6" i="3"/>
  <c r="D6" i="3"/>
  <c r="C6" i="3" s="1"/>
  <c r="M5" i="3"/>
  <c r="L5" i="3"/>
  <c r="I5" i="3"/>
  <c r="E5" i="3"/>
  <c r="D5" i="3"/>
  <c r="C5" i="3" s="1"/>
  <c r="M4" i="3"/>
  <c r="L4" i="3"/>
  <c r="I4" i="3"/>
  <c r="E4" i="3"/>
  <c r="D4" i="3"/>
  <c r="C4" i="3" s="1"/>
  <c r="M3" i="3"/>
  <c r="L3" i="3"/>
  <c r="I3" i="3"/>
  <c r="E3" i="3"/>
  <c r="D3" i="3"/>
  <c r="C3" i="3" s="1"/>
  <c r="M2" i="3"/>
  <c r="L2" i="3"/>
  <c r="I2" i="3"/>
  <c r="E2" i="3"/>
  <c r="D2" i="3"/>
  <c r="C2" i="3" s="1"/>
  <c r="Q13" i="3"/>
  <c r="P13" i="3"/>
  <c r="O13" i="3"/>
  <c r="N13" i="3"/>
  <c r="M13" i="3"/>
  <c r="L13" i="3"/>
  <c r="Q12" i="3"/>
  <c r="P12" i="3"/>
  <c r="O12" i="3"/>
  <c r="N12" i="3"/>
  <c r="M12" i="3"/>
  <c r="L12" i="3"/>
  <c r="B12" i="3"/>
  <c r="B13" i="3" s="1"/>
  <c r="Q11" i="3"/>
  <c r="P11" i="3"/>
  <c r="O11" i="3"/>
  <c r="N11" i="3"/>
  <c r="M11" i="3"/>
  <c r="L11" i="3"/>
  <c r="Q10" i="3"/>
  <c r="P10" i="3"/>
  <c r="O10" i="3"/>
  <c r="M10" i="3"/>
  <c r="P6" i="3"/>
  <c r="A6" i="3"/>
  <c r="P5" i="3"/>
  <c r="A5" i="3"/>
  <c r="P4" i="3"/>
  <c r="A4" i="3"/>
  <c r="P3" i="3"/>
  <c r="A3" i="3"/>
  <c r="P2" i="3"/>
  <c r="A2" i="3"/>
  <c r="P10" i="1"/>
  <c r="B10" i="1"/>
  <c r="P8" i="1"/>
  <c r="B8" i="1"/>
  <c r="AA11" i="1"/>
  <c r="P6" i="1"/>
  <c r="B6" i="1"/>
  <c r="AA10" i="1"/>
  <c r="P4" i="1"/>
  <c r="B4" i="1"/>
  <c r="W3" i="1"/>
  <c r="W4" i="1" s="1"/>
  <c r="P2" i="1"/>
  <c r="B2" i="1"/>
  <c r="F6" i="1" a="1"/>
  <c r="F6" i="1" l="1"/>
  <c r="Y2" i="1"/>
  <c r="Z2" i="1"/>
  <c r="AA2" i="1" s="1"/>
  <c r="X4" i="1"/>
  <c r="U4" i="1" s="1"/>
  <c r="I4" i="1" s="1"/>
  <c r="X2" i="1"/>
  <c r="Y3" i="1"/>
  <c r="X3" i="1"/>
  <c r="U2" i="1" s="1"/>
  <c r="Z4" i="1"/>
  <c r="AA4" i="1" s="1"/>
  <c r="Y4" i="1"/>
  <c r="Z3" i="1"/>
  <c r="AA3" i="1" s="1"/>
  <c r="R2" i="1" l="1"/>
  <c r="F2" i="1" s="1"/>
  <c r="B10" i="2"/>
  <c r="I2" i="1"/>
  <c r="AA12" i="1"/>
  <c r="F4" i="1" a="1"/>
  <c r="G2" i="3" l="1"/>
  <c r="A3" i="2"/>
  <c r="F4" i="1"/>
  <c r="J2" i="3"/>
  <c r="A6" i="2"/>
  <c r="F8" i="1" a="1"/>
  <c r="I6" i="1" a="1"/>
  <c r="F8" i="1" l="1"/>
  <c r="I6" i="1"/>
  <c r="G3" i="3"/>
  <c r="B14" i="2"/>
  <c r="G4" i="3"/>
  <c r="B4" i="2"/>
  <c r="J3" i="3"/>
  <c r="G5" i="3" l="1"/>
  <c r="C6" i="2"/>
  <c r="J4" i="3"/>
  <c r="B18" i="2"/>
  <c r="I8" i="1" l="1" a="1"/>
  <c r="F10" i="1" a="1"/>
  <c r="F12" i="1" a="1"/>
  <c r="I10" i="1" a="1"/>
  <c r="I10" i="1" l="1"/>
  <c r="F12" i="1"/>
  <c r="E15" i="2" s="1"/>
  <c r="E17" i="2" s="1"/>
  <c r="F10" i="1"/>
  <c r="I8" i="1"/>
  <c r="J5" i="3" l="1"/>
  <c r="C17" i="2"/>
  <c r="G6" i="3"/>
  <c r="D10" i="2"/>
  <c r="D22" i="2"/>
  <c r="J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<sst xmlns="http://schemas.openxmlformats.org/spreadsheetml/2006/main" count="91" uniqueCount="54">
  <si>
    <t>G #</t>
  </si>
  <si>
    <t>Day</t>
  </si>
  <si>
    <t>Date</t>
  </si>
  <si>
    <t>Time</t>
  </si>
  <si>
    <t>Teams &amp; Scores</t>
  </si>
  <si>
    <t>Host/Park/Field</t>
  </si>
  <si>
    <t>Umpire(s)</t>
  </si>
  <si>
    <t>Umpire (bases)</t>
  </si>
  <si>
    <t>SUM</t>
  </si>
  <si>
    <t>Teams</t>
  </si>
  <si>
    <t>#</t>
  </si>
  <si>
    <t>Team</t>
  </si>
  <si>
    <t>GC Name</t>
  </si>
  <si>
    <t>Park</t>
  </si>
  <si>
    <t>Host</t>
  </si>
  <si>
    <t>vs</t>
  </si>
  <si>
    <t>LP-French Field</t>
  </si>
  <si>
    <t>Assigned by D27 Scott Bennett</t>
  </si>
  <si>
    <t>GV-King Road</t>
  </si>
  <si>
    <t>WG-1</t>
  </si>
  <si>
    <t>WG-2</t>
  </si>
  <si>
    <t>LG-1</t>
  </si>
  <si>
    <t>LG-2</t>
  </si>
  <si>
    <t>WG-4</t>
  </si>
  <si>
    <t>Total</t>
  </si>
  <si>
    <t>CV-Monument Park</t>
  </si>
  <si>
    <t>WG-3</t>
  </si>
  <si>
    <t>If Necessary</t>
  </si>
  <si>
    <t>Champion</t>
  </si>
  <si>
    <t>LL International</t>
  </si>
  <si>
    <t>G#</t>
  </si>
  <si>
    <t>Division</t>
  </si>
  <si>
    <t>Level</t>
  </si>
  <si>
    <t>Tournament</t>
  </si>
  <si>
    <t>Championship</t>
  </si>
  <si>
    <t>D27 DA</t>
  </si>
  <si>
    <t>Baseball</t>
  </si>
  <si>
    <t>D27</t>
  </si>
  <si>
    <t>Manager</t>
  </si>
  <si>
    <t>Email Address</t>
  </si>
  <si>
    <t>Cell Phone</t>
  </si>
  <si>
    <t>ABBV</t>
  </si>
  <si>
    <t>Random #</t>
  </si>
  <si>
    <t>Order</t>
  </si>
  <si>
    <t>Chester Valley</t>
  </si>
  <si>
    <t>CV</t>
  </si>
  <si>
    <t>Lower Perk</t>
  </si>
  <si>
    <t>LP</t>
  </si>
  <si>
    <t>GC Abbrev</t>
  </si>
  <si>
    <t>BB-JR</t>
  </si>
  <si>
    <t>Junior Baseball</t>
  </si>
  <si>
    <t>-D27-BBJR</t>
  </si>
  <si>
    <t>GVE</t>
  </si>
  <si>
    <t>Great Valley Exton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</si>
</sst>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"/>
    <numFmt numFmtId="165" formatCode="dd\-mmm\-yy"/>
    <numFmt numFmtId="166" formatCode="mmm\-dd\-yyyy"/>
  </numFmts>
  <fonts count="12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u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24"/>
      <name val="Calibri"/>
      <family val="2"/>
    </font>
    <font>
      <b/>
      <sz val="10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  <font>
      <sz val="10"/>
      <name val="Calibri"/>
      <family val="2"/>
    </font>
    <font>
      <sz val="1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82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8" fontId="3" fillId="0" borderId="1" xfId="1" applyNumberFormat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1" fontId="3" fillId="0" borderId="0" xfId="1" applyNumberFormat="1" applyFont="1" applyAlignment="1">
      <alignment vertical="center"/>
    </xf>
    <xf numFmtId="0" fontId="3" fillId="5" borderId="1" xfId="1" applyFont="1" applyFill="1" applyBorder="1" applyAlignment="1">
      <alignment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1" fontId="3" fillId="0" borderId="0" xfId="1" applyNumberFormat="1" applyFont="1"/>
    <xf numFmtId="0" fontId="3" fillId="0" borderId="0" xfId="1" applyFont="1"/>
    <xf numFmtId="0" fontId="3" fillId="0" borderId="0" xfId="0" applyFont="1"/>
    <xf numFmtId="0" fontId="3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164" fontId="3" fillId="4" borderId="1" xfId="1" applyNumberFormat="1" applyFont="1" applyFill="1" applyBorder="1" applyAlignment="1">
      <alignment horizontal="center" vertical="center"/>
    </xf>
    <xf numFmtId="18" fontId="3" fillId="4" borderId="1" xfId="1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left"/>
    </xf>
    <xf numFmtId="164" fontId="4" fillId="0" borderId="1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/>
    </xf>
    <xf numFmtId="18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right"/>
    </xf>
    <xf numFmtId="0" fontId="4" fillId="0" borderId="1" xfId="1" applyFont="1" applyBorder="1" applyAlignment="1">
      <alignment vertical="center"/>
    </xf>
    <xf numFmtId="0" fontId="3" fillId="0" borderId="0" xfId="1" applyFont="1" applyAlignment="1">
      <alignment horizontal="center"/>
    </xf>
    <xf numFmtId="165" fontId="3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7" fillId="0" borderId="8" xfId="0" applyFont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164" fontId="3" fillId="6" borderId="1" xfId="1" applyNumberFormat="1" applyFont="1" applyFill="1" applyBorder="1" applyAlignment="1">
      <alignment horizontal="center" vertical="center"/>
    </xf>
    <xf numFmtId="166" fontId="3" fillId="6" borderId="1" xfId="1" applyNumberFormat="1" applyFont="1" applyFill="1" applyBorder="1" applyAlignment="1">
      <alignment horizontal="center" vertical="center"/>
    </xf>
    <xf numFmtId="18" fontId="3" fillId="6" borderId="1" xfId="1" applyNumberFormat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0" fontId="5" fillId="0" borderId="0" xfId="0" applyFont="1"/>
    <xf numFmtId="166" fontId="3" fillId="4" borderId="1" xfId="1" applyNumberFormat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9" fillId="5" borderId="1" xfId="2" applyFont="1" applyFill="1" applyBorder="1" applyAlignment="1">
      <alignment vertical="center"/>
    </xf>
    <xf numFmtId="2" fontId="3" fillId="5" borderId="1" xfId="1" applyNumberFormat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left" vertical="center"/>
    </xf>
    <xf numFmtId="0" fontId="3" fillId="8" borderId="1" xfId="1" applyFont="1" applyFill="1" applyBorder="1" applyAlignment="1">
      <alignment vertical="center"/>
    </xf>
    <xf numFmtId="2" fontId="3" fillId="0" borderId="1" xfId="1" applyNumberFormat="1" applyFont="1" applyBorder="1" applyAlignment="1">
      <alignment horizontal="center" vertical="center"/>
    </xf>
    <xf numFmtId="0" fontId="3" fillId="6" borderId="1" xfId="1" applyFont="1" applyFill="1" applyBorder="1" applyAlignment="1">
      <alignment vertical="center"/>
    </xf>
    <xf numFmtId="0" fontId="3" fillId="0" borderId="1" xfId="1" quotePrefix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1" quotePrefix="1" applyFont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16" fontId="3" fillId="9" borderId="1" xfId="0" applyNumberFormat="1" applyFont="1" applyFill="1" applyBorder="1" applyAlignment="1">
      <alignment horizontal="center" vertical="center"/>
    </xf>
    <xf numFmtId="165" fontId="3" fillId="4" borderId="1" xfId="1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10" borderId="1" xfId="1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3" fillId="13" borderId="4" xfId="1" quotePrefix="1" applyFont="1" applyFill="1" applyBorder="1" applyAlignment="1">
      <alignment horizontal="right" vertical="center" wrapText="1"/>
    </xf>
    <xf numFmtId="0" fontId="3" fillId="13" borderId="5" xfId="1" applyFont="1" applyFill="1" applyBorder="1" applyAlignment="1">
      <alignment horizontal="right" vertical="center" wrapText="1"/>
    </xf>
    <xf numFmtId="0" fontId="3" fillId="12" borderId="4" xfId="0" applyFont="1" applyFill="1" applyBorder="1" applyAlignment="1">
      <alignment horizontal="right" vertical="center" wrapText="1"/>
    </xf>
    <xf numFmtId="0" fontId="3" fillId="12" borderId="6" xfId="0" applyFont="1" applyFill="1" applyBorder="1" applyAlignment="1">
      <alignment horizontal="right" vertical="center" wrapText="1"/>
    </xf>
    <xf numFmtId="0" fontId="3" fillId="12" borderId="5" xfId="0" applyFont="1" applyFill="1" applyBorder="1" applyAlignment="1">
      <alignment horizontal="right" vertical="center" wrapText="1"/>
    </xf>
    <xf numFmtId="0" fontId="3" fillId="4" borderId="4" xfId="0" applyFont="1" applyFill="1" applyBorder="1" applyAlignment="1">
      <alignment horizontal="right" vertical="center" wrapText="1"/>
    </xf>
    <xf numFmtId="0" fontId="3" fillId="4" borderId="6" xfId="0" applyFont="1" applyFill="1" applyBorder="1" applyAlignment="1">
      <alignment horizontal="right" vertical="center" wrapText="1"/>
    </xf>
    <xf numFmtId="0" fontId="3" fillId="4" borderId="5" xfId="0" applyFont="1" applyFill="1" applyBorder="1" applyAlignment="1">
      <alignment horizontal="right" vertical="center" wrapText="1"/>
    </xf>
    <xf numFmtId="0" fontId="3" fillId="8" borderId="4" xfId="1" quotePrefix="1" applyFont="1" applyFill="1" applyBorder="1" applyAlignment="1">
      <alignment horizontal="right" vertical="center" wrapText="1"/>
    </xf>
    <xf numFmtId="0" fontId="3" fillId="8" borderId="6" xfId="1" quotePrefix="1" applyFont="1" applyFill="1" applyBorder="1" applyAlignment="1">
      <alignment horizontal="right" vertical="center" wrapText="1"/>
    </xf>
    <xf numFmtId="0" fontId="3" fillId="8" borderId="5" xfId="1" applyFont="1" applyFill="1" applyBorder="1" applyAlignment="1">
      <alignment horizontal="right" vertical="center" wrapText="1"/>
    </xf>
    <xf numFmtId="0" fontId="3" fillId="11" borderId="4" xfId="0" applyFont="1" applyFill="1" applyBorder="1" applyAlignment="1">
      <alignment horizontal="right" vertical="center" wrapText="1"/>
    </xf>
    <xf numFmtId="0" fontId="3" fillId="11" borderId="6" xfId="0" applyFont="1" applyFill="1" applyBorder="1" applyAlignment="1">
      <alignment horizontal="right" vertical="center" wrapText="1"/>
    </xf>
    <xf numFmtId="0" fontId="3" fillId="11" borderId="5" xfId="0" applyFont="1" applyFill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1EAD90B0-298D-4997-8DAB-38D8FA31846E}"/>
  </cellStyles>
  <dxfs count="4"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D3E8-E652-48CC-B8BF-6AC3A51298BA}">
  <sheetPr>
    <pageSetUpPr fitToPage="1"/>
  </sheetPr>
  <dimension ref="A1:IW30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2" sqref="G2"/>
    </sheetView>
  </sheetViews>
  <sheetFormatPr defaultColWidth="9.15234375" defaultRowHeight="14.6" x14ac:dyDescent="0.4"/>
  <cols>
    <col min="1" max="1" width="5.84375" style="24" customWidth="1"/>
    <col min="2" max="2" width="6.69140625" style="24" customWidth="1"/>
    <col min="3" max="3" width="10.69140625" style="33" customWidth="1"/>
    <col min="4" max="4" width="9.15234375" style="24"/>
    <col min="5" max="5" width="2.69140625" style="5" hidden="1" customWidth="1"/>
    <col min="6" max="6" width="18.69140625" style="5" customWidth="1"/>
    <col min="7" max="7" width="4.69140625" style="24" customWidth="1"/>
    <col min="8" max="8" width="4.69140625" style="5" customWidth="1"/>
    <col min="9" max="9" width="18.69140625" style="5" customWidth="1"/>
    <col min="10" max="10" width="4.69140625" style="5" customWidth="1"/>
    <col min="11" max="11" width="4.69140625" style="5" hidden="1" customWidth="1"/>
    <col min="12" max="12" width="18.61328125" style="24" bestFit="1" customWidth="1"/>
    <col min="13" max="13" width="26.23046875" style="5" customWidth="1"/>
    <col min="14" max="14" width="21.84375" style="5" hidden="1" customWidth="1"/>
    <col min="15" max="15" width="2.69140625" style="5" hidden="1" customWidth="1"/>
    <col min="16" max="16" width="5.23046875" style="5" hidden="1" customWidth="1"/>
    <col min="17" max="17" width="2.69140625" style="5" hidden="1" customWidth="1"/>
    <col min="18" max="18" width="14.69140625" style="24" hidden="1" customWidth="1"/>
    <col min="19" max="20" width="2.69140625" style="24" hidden="1" customWidth="1"/>
    <col min="21" max="21" width="14.69140625" style="24" hidden="1" customWidth="1"/>
    <col min="22" max="22" width="6.61328125" style="5" customWidth="1"/>
    <col min="23" max="23" width="4.69140625" style="24" customWidth="1"/>
    <col min="24" max="24" width="16.69140625" style="5" customWidth="1"/>
    <col min="25" max="25" width="16.69140625" style="24" hidden="1" customWidth="1"/>
    <col min="26" max="26" width="18.61328125" style="5" bestFit="1" customWidth="1"/>
    <col min="27" max="27" width="5" style="5" bestFit="1" customWidth="1"/>
    <col min="28" max="16384" width="9.15234375" style="16"/>
  </cols>
  <sheetData>
    <row r="1" spans="1:257" s="7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2"/>
      <c r="F1" s="81" t="s">
        <v>4</v>
      </c>
      <c r="G1" s="81"/>
      <c r="H1" s="81"/>
      <c r="I1" s="81"/>
      <c r="J1" s="81"/>
      <c r="K1" s="3"/>
      <c r="L1" s="1" t="s">
        <v>5</v>
      </c>
      <c r="M1" s="1" t="s">
        <v>6</v>
      </c>
      <c r="N1" s="1" t="s">
        <v>7</v>
      </c>
      <c r="O1" s="4"/>
      <c r="P1" s="1" t="s">
        <v>8</v>
      </c>
      <c r="Q1" s="4"/>
      <c r="R1" s="81" t="s">
        <v>9</v>
      </c>
      <c r="S1" s="81"/>
      <c r="T1" s="81"/>
      <c r="U1" s="81"/>
      <c r="V1" s="5"/>
      <c r="W1" s="6" t="s">
        <v>10</v>
      </c>
      <c r="X1" s="6" t="s">
        <v>11</v>
      </c>
      <c r="Y1" s="6" t="s">
        <v>12</v>
      </c>
      <c r="Z1" s="6" t="s">
        <v>13</v>
      </c>
      <c r="AA1" s="6" t="s">
        <v>14</v>
      </c>
      <c r="AB1" s="5"/>
    </row>
    <row r="2" spans="1:257" x14ac:dyDescent="0.4">
      <c r="A2" s="2">
        <v>1</v>
      </c>
      <c r="B2" s="8">
        <f>+C2</f>
        <v>46196</v>
      </c>
      <c r="C2" s="9">
        <v>46196</v>
      </c>
      <c r="D2" s="10">
        <v>0.72916666666666663</v>
      </c>
      <c r="E2" s="2"/>
      <c r="F2" s="11" t="str">
        <f>+R2</f>
        <v>Lower Perk</v>
      </c>
      <c r="G2" s="2"/>
      <c r="H2" s="2" t="s">
        <v>15</v>
      </c>
      <c r="I2" s="11" t="str">
        <f>+U2</f>
        <v>Chester Valley</v>
      </c>
      <c r="J2" s="2"/>
      <c r="K2" s="3"/>
      <c r="L2" s="2" t="s">
        <v>16</v>
      </c>
      <c r="M2" s="63" t="s">
        <v>17</v>
      </c>
      <c r="N2" s="3"/>
      <c r="O2" s="12"/>
      <c r="P2" s="2">
        <f>+G2+J2</f>
        <v>0</v>
      </c>
      <c r="Q2" s="12"/>
      <c r="R2" s="2" t="str">
        <f>+X2</f>
        <v>Lower Perk</v>
      </c>
      <c r="S2" s="2"/>
      <c r="T2" s="2"/>
      <c r="U2" s="2" t="str">
        <f>+X3</f>
        <v>Chester Valley</v>
      </c>
      <c r="V2" s="12"/>
      <c r="W2" s="2">
        <v>1</v>
      </c>
      <c r="X2" s="13" t="str">
        <f>VLOOKUP($W2,'D27'!$L$11:$Q$13,2,FALSE)</f>
        <v>Lower Perk</v>
      </c>
      <c r="Y2" s="14" t="str">
        <f>VLOOKUP($W2,'D27'!$L$11:$Q$13,3,FALSE)</f>
        <v>LP-D27-BBJR</v>
      </c>
      <c r="Z2" s="15" t="str">
        <f>VLOOKUP($W2,'D27'!$L$11:$Q$13,6,FALSE)</f>
        <v>LP-French Field</v>
      </c>
      <c r="AA2" s="2">
        <f>IF(Z2="","",COUNTIF($L$2:$L$13,$Z2))</f>
        <v>1</v>
      </c>
    </row>
    <row r="3" spans="1:257" x14ac:dyDescent="0.4">
      <c r="A3" s="2"/>
      <c r="B3" s="8"/>
      <c r="C3" s="9"/>
      <c r="D3" s="10"/>
      <c r="E3" s="2"/>
      <c r="F3" s="3"/>
      <c r="G3" s="2"/>
      <c r="H3" s="2"/>
      <c r="I3" s="3"/>
      <c r="J3" s="2"/>
      <c r="K3" s="3"/>
      <c r="L3" s="2"/>
      <c r="M3" s="3"/>
      <c r="N3" s="3"/>
      <c r="O3" s="17"/>
      <c r="P3" s="2"/>
      <c r="Q3" s="12"/>
      <c r="R3" s="2"/>
      <c r="S3" s="2"/>
      <c r="T3" s="2"/>
      <c r="U3" s="2"/>
      <c r="V3" s="12"/>
      <c r="W3" s="2">
        <f>+W2+1</f>
        <v>2</v>
      </c>
      <c r="X3" s="13" t="str">
        <f>VLOOKUP($W3,'D27'!$L$11:$Q$13,2,FALSE)</f>
        <v>Chester Valley</v>
      </c>
      <c r="Y3" s="14" t="str">
        <f>VLOOKUP($W3,'D27'!$L$11:$Q$13,3,FALSE)</f>
        <v>CV-D27-BBJR</v>
      </c>
      <c r="Z3" s="15" t="str">
        <f>VLOOKUP($W3,'D27'!$L$11:$Q$13,6,FALSE)</f>
        <v>CV-Monument Park</v>
      </c>
      <c r="AA3" s="2">
        <f>IF(Z3="","",COUNTIF($L$2:$L$13,$Z3))</f>
        <v>2</v>
      </c>
    </row>
    <row r="4" spans="1:257" s="19" customFormat="1" x14ac:dyDescent="0.4">
      <c r="A4" s="2">
        <v>2</v>
      </c>
      <c r="B4" s="8">
        <f>+C4</f>
        <v>46199</v>
      </c>
      <c r="C4" s="9">
        <v>46199</v>
      </c>
      <c r="D4" s="10">
        <v>0.72916666666666663</v>
      </c>
      <c r="E4" s="2"/>
      <c r="F4" s="3" t="str" cm="1">
        <f t="array" aca="1" ref="F4" ca="1">IF((INDIRECT("SCHEDULE!P"&amp;S4))&gt;0,(IF((INDIRECT("SCHEDULE!G"&amp;S4))&gt;(INDIRECT("SCHEDULE!J"&amp;S4)),(INDIRECT("SCHEDULE!F"&amp;S4)),(INDIRECT("SCHEDULE!I"&amp;S4)))),R4)</f>
        <v>WG-1</v>
      </c>
      <c r="G4" s="2"/>
      <c r="H4" s="2" t="s">
        <v>15</v>
      </c>
      <c r="I4" s="11" t="str">
        <f>+U4</f>
        <v>Great Valley Exton</v>
      </c>
      <c r="J4" s="2"/>
      <c r="K4" s="3"/>
      <c r="L4" s="2" t="s">
        <v>18</v>
      </c>
      <c r="M4" s="63" t="s">
        <v>17</v>
      </c>
      <c r="N4" s="3"/>
      <c r="O4" s="17"/>
      <c r="P4" s="2">
        <f t="shared" ref="P4" si="0">+G4+J4</f>
        <v>0</v>
      </c>
      <c r="Q4" s="12"/>
      <c r="R4" s="2" t="s">
        <v>19</v>
      </c>
      <c r="S4" s="2">
        <v>2</v>
      </c>
      <c r="T4" s="2"/>
      <c r="U4" s="2" t="str">
        <f>+X4</f>
        <v>Great Valley Exton</v>
      </c>
      <c r="V4" s="12"/>
      <c r="W4" s="2">
        <f t="shared" ref="W4" si="1">+W3+1</f>
        <v>3</v>
      </c>
      <c r="X4" s="13" t="str">
        <f>VLOOKUP($W4,'D27'!$L$11:$Q$13,2,FALSE)</f>
        <v>Great Valley Exton</v>
      </c>
      <c r="Y4" s="14" t="str">
        <f>VLOOKUP($W4,'D27'!$L$11:$Q$13,3,FALSE)</f>
        <v>GVE-D27-BBJR</v>
      </c>
      <c r="Z4" s="15" t="str">
        <f>VLOOKUP($W4,'D27'!$L$11:$Q$13,6,FALSE)</f>
        <v>GV-King Road</v>
      </c>
      <c r="AA4" s="2">
        <f>IF(Z4="","",COUNTIF($L$2:$L$13,$Z4))</f>
        <v>2</v>
      </c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8"/>
      <c r="IS4" s="18"/>
      <c r="IT4" s="18"/>
      <c r="IU4" s="18"/>
      <c r="IV4" s="18"/>
      <c r="IW4" s="18"/>
    </row>
    <row r="5" spans="1:257" s="19" customFormat="1" x14ac:dyDescent="0.4">
      <c r="A5" s="2"/>
      <c r="B5" s="8"/>
      <c r="C5" s="9"/>
      <c r="D5" s="10"/>
      <c r="E5" s="2"/>
      <c r="F5" s="3"/>
      <c r="G5" s="2"/>
      <c r="H5" s="2"/>
      <c r="I5" s="3"/>
      <c r="J5" s="2"/>
      <c r="K5" s="3"/>
      <c r="L5" s="2"/>
      <c r="M5" s="3"/>
      <c r="N5" s="3"/>
      <c r="O5" s="17"/>
      <c r="P5" s="2"/>
      <c r="Q5" s="12"/>
      <c r="R5" s="2"/>
      <c r="S5" s="2"/>
      <c r="T5" s="2"/>
      <c r="U5" s="2"/>
      <c r="V5" s="12"/>
      <c r="W5" s="2"/>
      <c r="X5" s="20"/>
      <c r="Y5" s="20"/>
      <c r="Z5" s="20"/>
      <c r="AA5" s="2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8"/>
      <c r="IN5" s="18"/>
      <c r="IO5" s="18"/>
      <c r="IP5" s="18"/>
      <c r="IQ5" s="18"/>
      <c r="IR5" s="18"/>
      <c r="IS5" s="18"/>
      <c r="IT5" s="18"/>
      <c r="IU5" s="18"/>
      <c r="IV5" s="18"/>
      <c r="IW5" s="18"/>
    </row>
    <row r="6" spans="1:257" s="19" customFormat="1" x14ac:dyDescent="0.4">
      <c r="A6" s="2">
        <v>3</v>
      </c>
      <c r="B6" s="8">
        <f>+C6</f>
        <v>46201</v>
      </c>
      <c r="C6" s="9">
        <v>46201</v>
      </c>
      <c r="D6" s="10">
        <v>0.66666666666666663</v>
      </c>
      <c r="E6" s="2"/>
      <c r="F6" s="3" t="str" cm="1">
        <f t="array" aca="1" ref="F6" ca="1">IF((INDIRECT("SCHEDULE!P"&amp;S6))&gt;0,(IF((INDIRECT("SCHEDULE!G"&amp;S6))&lt;(INDIRECT("SCHEDULE!J"&amp;S6)),(INDIRECT("SCHEDULE!F"&amp;S6)),(INDIRECT("SCHEDULE!I"&amp;S6)))),R6)</f>
        <v>LG-1</v>
      </c>
      <c r="G6" s="2"/>
      <c r="H6" s="2" t="s">
        <v>15</v>
      </c>
      <c r="I6" s="3" t="str" cm="1">
        <f t="array" aca="1" ref="I6" ca="1">IF((INDIRECT("SCHEDULE!P"&amp;T6))&gt;0,(IF((INDIRECT("SCHEDULE!G"&amp;T6))&lt;(INDIRECT("SCHEDULE!J"&amp;T6)),(INDIRECT("SCHEDULE!F"&amp;T6)),(INDIRECT("SCHEDULE!I"&amp;T6)))),U6)</f>
        <v>LG-2</v>
      </c>
      <c r="J6" s="2"/>
      <c r="K6" s="3"/>
      <c r="L6" s="2" t="s">
        <v>18</v>
      </c>
      <c r="M6" s="63" t="s">
        <v>17</v>
      </c>
      <c r="N6" s="3"/>
      <c r="O6" s="18"/>
      <c r="P6" s="2">
        <f t="shared" ref="P6" si="2">+G6+J6</f>
        <v>0</v>
      </c>
      <c r="Q6" s="12"/>
      <c r="R6" s="2" t="s">
        <v>21</v>
      </c>
      <c r="S6" s="2">
        <v>2</v>
      </c>
      <c r="T6" s="2">
        <v>4</v>
      </c>
      <c r="U6" s="2" t="s">
        <v>22</v>
      </c>
      <c r="V6" s="12"/>
      <c r="W6" s="2"/>
      <c r="X6" s="20"/>
      <c r="Y6" s="20"/>
      <c r="Z6" s="20"/>
      <c r="AA6" s="2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</row>
    <row r="7" spans="1:257" s="19" customFormat="1" x14ac:dyDescent="0.4">
      <c r="A7" s="2"/>
      <c r="B7" s="8"/>
      <c r="C7" s="9"/>
      <c r="D7" s="10"/>
      <c r="E7" s="2"/>
      <c r="F7" s="3"/>
      <c r="G7" s="2"/>
      <c r="H7" s="2"/>
      <c r="I7" s="3"/>
      <c r="J7" s="2"/>
      <c r="K7" s="3"/>
      <c r="L7" s="2"/>
      <c r="M7" s="3"/>
      <c r="N7" s="3"/>
      <c r="O7" s="18"/>
      <c r="P7" s="2"/>
      <c r="Q7" s="12"/>
      <c r="R7" s="2"/>
      <c r="S7" s="2"/>
      <c r="T7" s="2"/>
      <c r="U7" s="2"/>
      <c r="V7" s="12"/>
      <c r="W7" s="2"/>
      <c r="X7" s="20"/>
      <c r="Y7" s="20"/>
      <c r="Z7" s="20"/>
      <c r="AA7" s="2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</row>
    <row r="8" spans="1:257" s="19" customFormat="1" x14ac:dyDescent="0.4">
      <c r="A8" s="2">
        <v>4</v>
      </c>
      <c r="B8" s="22">
        <f>+C8</f>
        <v>46203</v>
      </c>
      <c r="C8" s="58">
        <v>46203</v>
      </c>
      <c r="D8" s="23">
        <v>0.72916666666666663</v>
      </c>
      <c r="E8" s="2"/>
      <c r="F8" s="3" t="str" cm="1">
        <f t="array" aca="1" ref="F8" ca="1">IF((INDIRECT("SCHEDULE!P"&amp;S8))&gt;0,(IF((INDIRECT("SCHEDULE!G"&amp;S8))&gt;(INDIRECT("SCHEDULE!J"&amp;S8)),(INDIRECT("SCHEDULE!F"&amp;S8)),(INDIRECT("SCHEDULE!I"&amp;S8)))),R8)</f>
        <v>WG-2</v>
      </c>
      <c r="G8" s="2"/>
      <c r="H8" s="2" t="s">
        <v>15</v>
      </c>
      <c r="I8" s="3" t="str" cm="1">
        <f t="array" aca="1" ref="I8" ca="1">IF((INDIRECT("SCHEDULE!P"&amp;T8))&gt;0,(IF((INDIRECT("SCHEDULE!G"&amp;T8))&gt;(INDIRECT("SCHEDULE!J"&amp;T8)),(INDIRECT("SCHEDULE!F"&amp;T8)),(INDIRECT("SCHEDULE!I"&amp;T8)))),U8)</f>
        <v>WG-3</v>
      </c>
      <c r="J8" s="2"/>
      <c r="K8" s="3"/>
      <c r="L8" s="59" t="s">
        <v>25</v>
      </c>
      <c r="M8" s="63" t="s">
        <v>17</v>
      </c>
      <c r="N8" s="3"/>
      <c r="O8" s="18"/>
      <c r="P8" s="2">
        <f t="shared" ref="P8" si="3">+G8+J8</f>
        <v>0</v>
      </c>
      <c r="Q8" s="12"/>
      <c r="R8" s="2" t="s">
        <v>20</v>
      </c>
      <c r="S8" s="2">
        <v>4</v>
      </c>
      <c r="T8" s="2">
        <v>6</v>
      </c>
      <c r="U8" s="2" t="s">
        <v>26</v>
      </c>
      <c r="V8" s="12"/>
      <c r="W8" s="2"/>
      <c r="X8" s="20"/>
      <c r="Y8" s="20"/>
      <c r="Z8" s="20"/>
      <c r="AA8" s="2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18"/>
    </row>
    <row r="9" spans="1:257" s="19" customFormat="1" x14ac:dyDescent="0.4">
      <c r="A9" s="2"/>
      <c r="B9" s="8"/>
      <c r="C9" s="9"/>
      <c r="D9" s="10"/>
      <c r="E9" s="2"/>
      <c r="F9" s="3"/>
      <c r="G9" s="2"/>
      <c r="H9" s="2"/>
      <c r="I9" s="3"/>
      <c r="J9" s="2"/>
      <c r="K9" s="3"/>
      <c r="L9" s="2"/>
      <c r="M9" s="3"/>
      <c r="N9" s="3"/>
      <c r="O9" s="18"/>
      <c r="P9" s="2"/>
      <c r="Q9" s="12"/>
      <c r="R9" s="2"/>
      <c r="S9" s="2"/>
      <c r="T9" s="2"/>
      <c r="U9" s="2"/>
      <c r="V9" s="12"/>
      <c r="W9" s="2"/>
      <c r="X9" s="20"/>
      <c r="Y9" s="20"/>
      <c r="Z9" s="20"/>
      <c r="AA9" s="2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8"/>
      <c r="IS9" s="18"/>
      <c r="IT9" s="18"/>
      <c r="IU9" s="18"/>
      <c r="IV9" s="18"/>
      <c r="IW9" s="18"/>
    </row>
    <row r="10" spans="1:257" s="19" customFormat="1" x14ac:dyDescent="0.4">
      <c r="A10" s="2">
        <v>5</v>
      </c>
      <c r="B10" s="22">
        <f>+C10</f>
        <v>46204</v>
      </c>
      <c r="C10" s="58">
        <v>46204</v>
      </c>
      <c r="D10" s="23">
        <v>0.72916666666666663</v>
      </c>
      <c r="E10" s="2"/>
      <c r="F10" s="3" t="str" cm="1">
        <f t="array" aca="1" ref="F10" ca="1">IF((INDIRECT("SCHEDULE!P"&amp;S10))&gt;0,(IF((INDIRECT("SCHEDULE!G"&amp;S10))&gt;(INDIRECT("SCHEDULE!J"&amp;S10)),(INDIRECT("SCHEDULE!F"&amp;S10)),(INDIRECT("SCHEDULE!I"&amp;S10)))),R10)</f>
        <v>WG-4</v>
      </c>
      <c r="G10" s="2"/>
      <c r="H10" s="2" t="s">
        <v>15</v>
      </c>
      <c r="I10" s="3" t="str" cm="1">
        <f t="array" aca="1" ref="I10" ca="1">IF((INDIRECT("SCHEDULE!P"&amp;T10))&gt;0,(IF((INDIRECT("SCHEDULE!G"&amp;T10))&lt;(INDIRECT("SCHEDULE!J"&amp;T10)),(INDIRECT("SCHEDULE!F"&amp;T10)),"Not Necessary")),U10)</f>
        <v>If Necessary</v>
      </c>
      <c r="J10" s="2"/>
      <c r="K10" s="3"/>
      <c r="L10" s="59" t="s">
        <v>25</v>
      </c>
      <c r="M10" s="63" t="s">
        <v>17</v>
      </c>
      <c r="N10" s="3"/>
      <c r="O10" s="18"/>
      <c r="P10" s="2">
        <f t="shared" ref="P10" si="4">+G10+J10</f>
        <v>0</v>
      </c>
      <c r="Q10" s="12"/>
      <c r="R10" s="2" t="s">
        <v>23</v>
      </c>
      <c r="S10" s="2">
        <v>8</v>
      </c>
      <c r="T10" s="2">
        <v>8</v>
      </c>
      <c r="U10" s="2" t="s">
        <v>27</v>
      </c>
      <c r="V10" s="12"/>
      <c r="W10" s="2"/>
      <c r="X10" s="20"/>
      <c r="Y10" s="20"/>
      <c r="Z10" s="20"/>
      <c r="AA10" s="2" t="str">
        <f>IF(Z10="","",COUNTIF($L$2:$L$13,$Z10))</f>
        <v/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  <c r="IO10" s="18"/>
      <c r="IP10" s="18"/>
      <c r="IQ10" s="18"/>
      <c r="IR10" s="18"/>
      <c r="IS10" s="18"/>
      <c r="IT10" s="18"/>
      <c r="IU10" s="18"/>
      <c r="IV10" s="18"/>
      <c r="IW10" s="18"/>
    </row>
    <row r="11" spans="1:257" s="19" customFormat="1" x14ac:dyDescent="0.4">
      <c r="A11" s="2"/>
      <c r="B11" s="8"/>
      <c r="C11" s="9"/>
      <c r="D11" s="10"/>
      <c r="E11" s="2"/>
      <c r="F11" s="3"/>
      <c r="G11" s="2"/>
      <c r="H11" s="2"/>
      <c r="I11" s="3"/>
      <c r="J11" s="2"/>
      <c r="K11" s="3"/>
      <c r="L11" s="2"/>
      <c r="M11" s="3"/>
      <c r="N11" s="3"/>
      <c r="O11" s="18"/>
      <c r="P11" s="2"/>
      <c r="Q11" s="12"/>
      <c r="R11" s="2"/>
      <c r="S11" s="2"/>
      <c r="T11" s="2"/>
      <c r="U11" s="2"/>
      <c r="V11" s="12"/>
      <c r="W11" s="2"/>
      <c r="X11" s="20"/>
      <c r="Y11" s="20"/>
      <c r="Z11" s="20"/>
      <c r="AA11" s="2" t="str">
        <f>IF(Z11="","",COUNTIF($L$2:$L$13,$Z11))</f>
        <v/>
      </c>
      <c r="AB11" s="24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18"/>
      <c r="IQ11" s="18"/>
      <c r="IR11" s="18"/>
      <c r="IS11" s="18"/>
      <c r="IT11" s="18"/>
      <c r="IU11" s="18"/>
      <c r="IV11" s="18"/>
      <c r="IW11" s="18"/>
    </row>
    <row r="12" spans="1:257" s="19" customFormat="1" x14ac:dyDescent="0.4">
      <c r="A12" s="25" t="s">
        <v>28</v>
      </c>
      <c r="B12" s="26"/>
      <c r="C12" s="27"/>
      <c r="D12" s="28"/>
      <c r="E12" s="29"/>
      <c r="F12" s="30" t="str" cm="1">
        <f t="array" aca="1" ref="F12" ca="1">IF(INDIRECT("SCHEDULE!P"&amp;S12)&gt;0,IF(INDIRECT("SCHEDULE!G"&amp;S12)&gt;INDIRECT("SCHEDULE!J"&amp;S12),INDIRECT("SCHEDULE!F"&amp;S12),INDIRECT("SCHEDULE!I"&amp;S12)),IF(INDIRECT("SCHEDULE!P"&amp;T12)&gt;0,IF(INDIRECT("SCHEDULE!G"&amp;T12)&gt;INDIRECT("SCHEDULE!J"&amp;T12),INDIRECT("SCHEDULE!F"&amp;T12),R12),R12))</f>
        <v>Champion</v>
      </c>
      <c r="G12" s="2"/>
      <c r="H12" s="2"/>
      <c r="I12" s="3"/>
      <c r="J12" s="2"/>
      <c r="K12" s="3"/>
      <c r="L12" s="2"/>
      <c r="M12" s="3"/>
      <c r="N12" s="3"/>
      <c r="O12" s="18"/>
      <c r="P12" s="2"/>
      <c r="Q12" s="12"/>
      <c r="R12" s="2" t="s">
        <v>28</v>
      </c>
      <c r="S12" s="2">
        <v>10</v>
      </c>
      <c r="T12" s="2">
        <v>8</v>
      </c>
      <c r="U12" s="2"/>
      <c r="V12" s="12"/>
      <c r="W12" s="2"/>
      <c r="X12" s="20" t="s">
        <v>24</v>
      </c>
      <c r="Y12" s="20"/>
      <c r="Z12" s="20"/>
      <c r="AA12" s="21">
        <f>SUM(AA2:AA11)</f>
        <v>5</v>
      </c>
      <c r="AB12" s="24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  <c r="IR12" s="18"/>
      <c r="IS12" s="18"/>
      <c r="IT12" s="18"/>
      <c r="IU12" s="18"/>
      <c r="IV12" s="18"/>
      <c r="IW12" s="18"/>
    </row>
    <row r="13" spans="1:257" s="19" customFormat="1" x14ac:dyDescent="0.4">
      <c r="A13" s="31"/>
      <c r="B13" s="31"/>
      <c r="C13" s="32"/>
      <c r="D13" s="31"/>
      <c r="E13" s="18"/>
      <c r="F13" s="18"/>
      <c r="G13" s="18"/>
      <c r="H13" s="18"/>
      <c r="I13" s="18"/>
      <c r="J13" s="18"/>
      <c r="K13" s="24"/>
      <c r="L13" s="31"/>
      <c r="M13" s="18"/>
      <c r="N13" s="18"/>
      <c r="O13" s="18"/>
      <c r="P13" s="5"/>
      <c r="Q13" s="18"/>
      <c r="R13" s="31"/>
      <c r="S13" s="31"/>
      <c r="T13" s="31"/>
      <c r="U13" s="31"/>
      <c r="V13" s="12"/>
      <c r="W13" s="24"/>
      <c r="X13" s="24"/>
      <c r="Y13" s="24"/>
      <c r="Z13" s="24"/>
      <c r="AA13" s="24"/>
      <c r="AB13" s="24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18"/>
      <c r="IU13" s="18"/>
      <c r="IV13" s="18"/>
      <c r="IW13" s="18"/>
    </row>
    <row r="14" spans="1:257" s="19" customFormat="1" x14ac:dyDescent="0.4">
      <c r="A14" s="31"/>
      <c r="B14" s="24"/>
      <c r="C14" s="32"/>
      <c r="D14" s="31"/>
      <c r="E14" s="18"/>
      <c r="F14" s="5"/>
      <c r="G14" s="24"/>
      <c r="H14" s="5"/>
      <c r="I14" s="5"/>
      <c r="J14" s="5"/>
      <c r="K14" s="24"/>
      <c r="L14" s="24"/>
      <c r="M14" s="5"/>
      <c r="N14" s="5"/>
      <c r="O14" s="18"/>
      <c r="P14" s="5"/>
      <c r="Q14" s="18"/>
      <c r="R14" s="31"/>
      <c r="S14" s="31"/>
      <c r="T14" s="31"/>
      <c r="U14" s="31"/>
      <c r="V14" s="12"/>
      <c r="W14" s="24"/>
      <c r="X14" s="24"/>
      <c r="Y14" s="24"/>
      <c r="Z14" s="24"/>
      <c r="AA14" s="24"/>
      <c r="AB14" s="24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  <c r="IS14" s="18"/>
      <c r="IT14" s="18"/>
      <c r="IU14" s="18"/>
      <c r="IV14" s="18"/>
      <c r="IW14" s="18"/>
    </row>
    <row r="15" spans="1:257" s="19" customFormat="1" x14ac:dyDescent="0.4">
      <c r="A15" s="31"/>
      <c r="B15" s="24"/>
      <c r="C15" s="32"/>
      <c r="D15" s="31"/>
      <c r="E15" s="18"/>
      <c r="F15" s="5"/>
      <c r="G15" s="24"/>
      <c r="H15" s="5"/>
      <c r="I15" s="5"/>
      <c r="J15" s="5"/>
      <c r="K15" s="24"/>
      <c r="L15" s="24"/>
      <c r="M15" s="5"/>
      <c r="N15" s="5"/>
      <c r="O15" s="18"/>
      <c r="P15" s="5"/>
      <c r="Q15" s="18"/>
      <c r="R15" s="31"/>
      <c r="S15" s="31"/>
      <c r="T15" s="31"/>
      <c r="U15" s="31"/>
      <c r="V15" s="12"/>
      <c r="W15" s="24"/>
      <c r="X15" s="24"/>
      <c r="Y15" s="24"/>
      <c r="Z15" s="24"/>
      <c r="AA15" s="24"/>
      <c r="AB15" s="24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8"/>
      <c r="IS15" s="18"/>
      <c r="IT15" s="18"/>
      <c r="IU15" s="18"/>
      <c r="IV15" s="18"/>
      <c r="IW15" s="18"/>
    </row>
    <row r="16" spans="1:257" s="19" customFormat="1" x14ac:dyDescent="0.4">
      <c r="A16" s="31"/>
      <c r="B16" s="24"/>
      <c r="C16" s="32"/>
      <c r="D16" s="31"/>
      <c r="E16" s="18"/>
      <c r="F16" s="5"/>
      <c r="G16" s="24"/>
      <c r="H16" s="5"/>
      <c r="I16" s="5"/>
      <c r="J16" s="5"/>
      <c r="K16" s="24"/>
      <c r="L16" s="24"/>
      <c r="M16" s="5"/>
      <c r="N16" s="5"/>
      <c r="O16" s="18"/>
      <c r="P16" s="5"/>
      <c r="Q16" s="18"/>
      <c r="R16" s="31"/>
      <c r="S16" s="31"/>
      <c r="T16" s="31"/>
      <c r="U16" s="31"/>
      <c r="V16" s="12"/>
      <c r="W16" s="24"/>
      <c r="X16" s="24"/>
      <c r="Y16" s="24"/>
      <c r="Z16" s="24"/>
      <c r="AA16" s="24"/>
      <c r="AB16" s="24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18"/>
      <c r="IA16" s="18"/>
      <c r="IB16" s="18"/>
      <c r="IC16" s="18"/>
      <c r="ID16" s="18"/>
      <c r="IE16" s="18"/>
      <c r="IF16" s="18"/>
      <c r="IG16" s="18"/>
      <c r="IH16" s="18"/>
      <c r="II16" s="18"/>
      <c r="IJ16" s="18"/>
      <c r="IK16" s="18"/>
      <c r="IL16" s="18"/>
      <c r="IM16" s="18"/>
      <c r="IN16" s="18"/>
      <c r="IO16" s="18"/>
      <c r="IP16" s="18"/>
      <c r="IQ16" s="18"/>
      <c r="IR16" s="18"/>
      <c r="IS16" s="18"/>
      <c r="IT16" s="18"/>
      <c r="IU16" s="18"/>
      <c r="IV16" s="18"/>
      <c r="IW16" s="18"/>
    </row>
    <row r="17" spans="1:257" s="19" customFormat="1" x14ac:dyDescent="0.4">
      <c r="A17" s="31"/>
      <c r="B17" s="24"/>
      <c r="C17" s="32"/>
      <c r="D17" s="31"/>
      <c r="E17" s="18"/>
      <c r="F17" s="5"/>
      <c r="G17" s="24"/>
      <c r="H17" s="5"/>
      <c r="I17" s="5"/>
      <c r="J17" s="5"/>
      <c r="K17" s="24"/>
      <c r="L17" s="24"/>
      <c r="M17" s="5"/>
      <c r="N17" s="5"/>
      <c r="O17" s="18"/>
      <c r="P17" s="5"/>
      <c r="Q17" s="18"/>
      <c r="R17" s="31"/>
      <c r="S17" s="31"/>
      <c r="T17" s="31"/>
      <c r="U17" s="31"/>
      <c r="V17" s="12"/>
      <c r="W17" s="24"/>
      <c r="X17" s="24"/>
      <c r="Y17" s="24"/>
      <c r="Z17" s="24"/>
      <c r="AA17" s="24"/>
      <c r="AB17" s="24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18"/>
      <c r="IQ17" s="18"/>
      <c r="IR17" s="18"/>
      <c r="IS17" s="18"/>
      <c r="IT17" s="18"/>
      <c r="IU17" s="18"/>
      <c r="IV17" s="18"/>
      <c r="IW17" s="18"/>
    </row>
    <row r="18" spans="1:257" s="19" customFormat="1" x14ac:dyDescent="0.4">
      <c r="A18" s="31"/>
      <c r="B18" s="24"/>
      <c r="C18" s="32"/>
      <c r="D18" s="31"/>
      <c r="E18" s="18"/>
      <c r="F18" s="5"/>
      <c r="G18" s="24"/>
      <c r="H18" s="5"/>
      <c r="I18" s="5"/>
      <c r="J18" s="5"/>
      <c r="K18" s="24"/>
      <c r="L18" s="24"/>
      <c r="M18" s="5"/>
      <c r="N18" s="5"/>
      <c r="O18" s="18"/>
      <c r="P18" s="5"/>
      <c r="Q18" s="18"/>
      <c r="R18" s="31"/>
      <c r="S18" s="31"/>
      <c r="T18" s="31"/>
      <c r="U18" s="31"/>
      <c r="V18" s="12"/>
      <c r="W18" s="24"/>
      <c r="X18" s="24"/>
      <c r="Y18" s="24"/>
      <c r="Z18" s="24"/>
      <c r="AA18" s="24"/>
      <c r="AB18" s="24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18"/>
      <c r="IS18" s="18"/>
      <c r="IT18" s="18"/>
      <c r="IU18" s="18"/>
      <c r="IV18" s="18"/>
      <c r="IW18" s="18"/>
    </row>
    <row r="19" spans="1:257" s="19" customFormat="1" x14ac:dyDescent="0.4">
      <c r="A19" s="31"/>
      <c r="B19" s="24"/>
      <c r="C19" s="32"/>
      <c r="D19" s="31"/>
      <c r="E19" s="18"/>
      <c r="F19" s="5"/>
      <c r="G19" s="24"/>
      <c r="H19" s="5"/>
      <c r="I19" s="5"/>
      <c r="J19" s="5"/>
      <c r="K19" s="24"/>
      <c r="L19" s="24"/>
      <c r="M19" s="5"/>
      <c r="N19" s="5"/>
      <c r="O19" s="18"/>
      <c r="P19" s="5"/>
      <c r="Q19" s="18"/>
      <c r="R19" s="31"/>
      <c r="S19" s="31"/>
      <c r="T19" s="31"/>
      <c r="U19" s="31"/>
      <c r="V19" s="12"/>
      <c r="W19" s="24"/>
      <c r="X19" s="24"/>
      <c r="Y19" s="24"/>
      <c r="Z19" s="24"/>
      <c r="AA19" s="24"/>
      <c r="AB19" s="24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  <c r="IO19" s="18"/>
      <c r="IP19" s="18"/>
      <c r="IQ19" s="18"/>
      <c r="IR19" s="18"/>
      <c r="IS19" s="18"/>
      <c r="IT19" s="18"/>
      <c r="IU19" s="18"/>
      <c r="IV19" s="18"/>
      <c r="IW19" s="18"/>
    </row>
    <row r="20" spans="1:257" s="19" customFormat="1" x14ac:dyDescent="0.4">
      <c r="A20" s="24"/>
      <c r="B20" s="24"/>
      <c r="C20" s="33"/>
      <c r="D20" s="24"/>
      <c r="E20" s="5"/>
      <c r="F20" s="5"/>
      <c r="G20" s="24"/>
      <c r="H20" s="5"/>
      <c r="I20" s="5"/>
      <c r="J20" s="24"/>
      <c r="K20" s="24"/>
      <c r="L20" s="24"/>
      <c r="M20" s="5"/>
      <c r="N20" s="5"/>
      <c r="O20" s="5"/>
      <c r="P20" s="5"/>
      <c r="Q20" s="5"/>
      <c r="R20" s="24"/>
      <c r="S20" s="24"/>
      <c r="T20" s="24"/>
      <c r="U20" s="24"/>
      <c r="V20" s="12"/>
      <c r="W20" s="24"/>
      <c r="X20" s="24"/>
      <c r="Y20" s="24"/>
      <c r="Z20" s="24"/>
      <c r="AA20" s="24"/>
      <c r="AB20" s="24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18"/>
      <c r="IQ20" s="18"/>
      <c r="IR20" s="18"/>
      <c r="IS20" s="18"/>
      <c r="IT20" s="18"/>
      <c r="IU20" s="18"/>
      <c r="IV20" s="18"/>
      <c r="IW20" s="18"/>
    </row>
    <row r="21" spans="1:257" s="19" customFormat="1" x14ac:dyDescent="0.4">
      <c r="A21" s="24"/>
      <c r="B21" s="24"/>
      <c r="C21" s="33"/>
      <c r="D21" s="24"/>
      <c r="E21" s="5"/>
      <c r="F21" s="5"/>
      <c r="G21" s="24"/>
      <c r="H21" s="5"/>
      <c r="I21" s="5"/>
      <c r="J21" s="24"/>
      <c r="K21" s="24"/>
      <c r="L21" s="24"/>
      <c r="M21" s="5"/>
      <c r="N21" s="5"/>
      <c r="O21" s="5"/>
      <c r="P21" s="5"/>
      <c r="Q21" s="5"/>
      <c r="R21" s="24"/>
      <c r="S21" s="24"/>
      <c r="T21" s="24"/>
      <c r="U21" s="24"/>
      <c r="V21" s="12"/>
      <c r="W21" s="24"/>
      <c r="X21" s="24"/>
      <c r="Y21" s="24"/>
      <c r="Z21" s="24"/>
      <c r="AA21" s="24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8"/>
      <c r="IG21" s="18"/>
      <c r="IH21" s="18"/>
      <c r="II21" s="18"/>
      <c r="IJ21" s="18"/>
      <c r="IK21" s="18"/>
      <c r="IL21" s="18"/>
      <c r="IM21" s="18"/>
      <c r="IN21" s="18"/>
      <c r="IO21" s="18"/>
      <c r="IP21" s="18"/>
      <c r="IQ21" s="18"/>
      <c r="IR21" s="18"/>
      <c r="IS21" s="18"/>
      <c r="IT21" s="18"/>
      <c r="IU21" s="18"/>
      <c r="IV21" s="18"/>
      <c r="IW21" s="18"/>
    </row>
    <row r="22" spans="1:257" x14ac:dyDescent="0.4">
      <c r="J22" s="24"/>
      <c r="K22" s="24"/>
      <c r="V22" s="12"/>
      <c r="X22" s="24"/>
      <c r="Z22" s="24"/>
      <c r="AA22" s="24"/>
    </row>
    <row r="23" spans="1:257" x14ac:dyDescent="0.4">
      <c r="J23" s="24"/>
      <c r="K23" s="24"/>
      <c r="V23" s="12"/>
      <c r="X23" s="24"/>
      <c r="Z23" s="24"/>
      <c r="AA23" s="24"/>
    </row>
    <row r="24" spans="1:257" x14ac:dyDescent="0.4">
      <c r="J24" s="24"/>
      <c r="K24" s="24"/>
      <c r="V24" s="24"/>
      <c r="Y24" s="5"/>
    </row>
    <row r="25" spans="1:257" x14ac:dyDescent="0.4">
      <c r="J25" s="24"/>
      <c r="K25" s="24"/>
      <c r="V25" s="24"/>
    </row>
    <row r="26" spans="1:257" x14ac:dyDescent="0.4">
      <c r="J26" s="24"/>
      <c r="K26" s="24"/>
      <c r="V26" s="24"/>
    </row>
    <row r="27" spans="1:257" x14ac:dyDescent="0.4">
      <c r="J27" s="24"/>
      <c r="K27" s="24"/>
      <c r="V27" s="24"/>
    </row>
    <row r="28" spans="1:257" x14ac:dyDescent="0.4">
      <c r="J28" s="24"/>
      <c r="K28" s="24"/>
      <c r="V28" s="24"/>
    </row>
    <row r="29" spans="1:257" x14ac:dyDescent="0.4">
      <c r="J29" s="24"/>
      <c r="K29" s="24"/>
      <c r="V29" s="24"/>
    </row>
    <row r="30" spans="1:257" x14ac:dyDescent="0.4">
      <c r="J30" s="24"/>
      <c r="K30" s="24"/>
      <c r="V30" s="24"/>
    </row>
  </sheetData>
  <mergeCells count="2">
    <mergeCell ref="F1:J1"/>
    <mergeCell ref="R1:U1"/>
  </mergeCells>
  <conditionalFormatting sqref="G2:G12">
    <cfRule type="expression" dxfId="3" priority="2">
      <formula>G2&gt;J2</formula>
    </cfRule>
  </conditionalFormatting>
  <conditionalFormatting sqref="J2:J12">
    <cfRule type="expression" dxfId="2" priority="1">
      <formula>J2&gt;G2</formula>
    </cfRule>
  </conditionalFormatting>
  <pageMargins left="0.25" right="0.25" top="0.5" bottom="0.5" header="0.25" footer="0.25"/>
  <pageSetup scale="71" orientation="landscape" r:id="rId1"/>
  <headerFooter>
    <oddHeader>&amp;F</oddHeader>
    <oddFooter>&amp;L&amp;A&amp;C&amp;D&amp;RPage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4220A-25EA-4FC7-948D-7276BD7A6ED9}">
  <sheetPr>
    <pageSetUpPr fitToPage="1"/>
  </sheetPr>
  <dimension ref="A2:E22"/>
  <sheetViews>
    <sheetView tabSelected="1" workbookViewId="0">
      <selection activeCell="E15" sqref="E15"/>
    </sheetView>
  </sheetViews>
  <sheetFormatPr defaultColWidth="9.15234375" defaultRowHeight="14.6" x14ac:dyDescent="0.4"/>
  <cols>
    <col min="1" max="5" width="25.69140625" style="34" customWidth="1"/>
    <col min="6" max="6" width="11.69140625" style="34" customWidth="1"/>
    <col min="7" max="8" width="12.69140625" style="34" customWidth="1"/>
    <col min="9" max="16384" width="9.15234375" style="34"/>
  </cols>
  <sheetData>
    <row r="2" spans="1:5" x14ac:dyDescent="0.4">
      <c r="D2" s="56" t="s">
        <v>29</v>
      </c>
      <c r="E2" s="65" t="s">
        <v>49</v>
      </c>
    </row>
    <row r="3" spans="1:5" x14ac:dyDescent="0.4">
      <c r="A3" s="34" t="str">
        <f>IF((SCHEDULE!$P2)&lt;1,SCHEDULE!$F2,_xlfn.CONCAT(SCHEDULE!$F2," - ", SCHEDULE!$G2))</f>
        <v>Lower Perk</v>
      </c>
      <c r="D3" s="57" t="s">
        <v>50</v>
      </c>
      <c r="E3" s="66"/>
    </row>
    <row r="4" spans="1:5" x14ac:dyDescent="0.4">
      <c r="A4" s="67" t="str">
        <f>_xlfn.CONCAT("(",SCHEDULE!$A2,") - ",TEXT(SCHEDULE!$C2,"DDD M/D")," ",TEXT(SCHEDULE!$D2,"H:MM AM/PM"),"
 (",SCHEDULE!$L2,")")</f>
        <v>(1) - Tue 6/23 5:30 PM
 (LP-French Field)</v>
      </c>
      <c r="B4" s="34" t="str">
        <f ca="1">IF((SCHEDULE!$P4)&lt;1,SCHEDULE!$F4,_xlfn.CONCAT(SCHEDULE!$F4," - ", SCHEDULE!$G4))</f>
        <v>WG-1</v>
      </c>
    </row>
    <row r="5" spans="1:5" x14ac:dyDescent="0.4">
      <c r="A5" s="68"/>
      <c r="B5" s="69" t="str">
        <f>_xlfn.CONCAT("(",SCHEDULE!$A4,") - ",TEXT(SCHEDULE!$C4,"DDD M/D")," ",TEXT(SCHEDULE!$D4,"H:MM AM/PM"),"
 (",SCHEDULE!$L4,")")</f>
        <v>(2) - Fri 6/26 5:30 PM
 (GV-King Road)</v>
      </c>
    </row>
    <row r="6" spans="1:5" x14ac:dyDescent="0.4">
      <c r="A6" s="34" t="str">
        <f>IF((SCHEDULE!$P2)&lt;1,SCHEDULE!$I2,_xlfn.CONCAT(SCHEDULE!$I2," - ", SCHEDULE!$J2))</f>
        <v>Chester Valley</v>
      </c>
      <c r="B6" s="70"/>
      <c r="C6" s="34" t="str">
        <f ca="1">IF((SCHEDULE!$P8)&lt;1,SCHEDULE!$F8,_xlfn.CONCAT(SCHEDULE!$F8," - ", SCHEDULE!$G8))</f>
        <v>WG-2</v>
      </c>
    </row>
    <row r="7" spans="1:5" ht="14.6" customHeight="1" x14ac:dyDescent="0.4">
      <c r="B7" s="70"/>
      <c r="C7" s="78" t="str">
        <f>_xlfn.CONCAT("(",SCHEDULE!$A8,") - ",TEXT(SCHEDULE!$C8,"DDD M/D")," ",TEXT(SCHEDULE!$D8,"H:MM AM/PM"),"
 (",SCHEDULE!$L8,")")</f>
        <v>(4) - Tue 6/30 5:30 PM
 (CV-Monument Park)</v>
      </c>
    </row>
    <row r="8" spans="1:5" x14ac:dyDescent="0.4">
      <c r="B8" s="70"/>
      <c r="C8" s="79"/>
    </row>
    <row r="9" spans="1:5" x14ac:dyDescent="0.4">
      <c r="B9" s="71"/>
      <c r="C9" s="79"/>
    </row>
    <row r="10" spans="1:5" x14ac:dyDescent="0.4">
      <c r="B10" s="34" t="str">
        <f>IF((SCHEDULE!$P4)&lt;1,SCHEDULE!$I4,_xlfn.CONCAT(SCHEDULE!$I4," - ", SCHEDULE!$J4))</f>
        <v>Great Valley Exton</v>
      </c>
      <c r="C10" s="79"/>
      <c r="D10" s="34" t="str">
        <f ca="1">IF((SCHEDULE!$P10)&lt;1,SCHEDULE!$F10,_xlfn.CONCAT(SCHEDULE!$F10," - ", SCHEDULE!$G10))</f>
        <v>WG-4</v>
      </c>
    </row>
    <row r="11" spans="1:5" x14ac:dyDescent="0.4">
      <c r="C11" s="79"/>
      <c r="D11" s="72" t="str">
        <f>_xlfn.CONCAT("(",SCHEDULE!$A10,") - ",TEXT(SCHEDULE!$C10,"DDD M/D")," ",TEXT(SCHEDULE!$D10,"H:MM AM/PM"),"
 (",SCHEDULE!$L10,")")</f>
        <v>(5) - Wed 7/1 5:30 PM
 (CV-Monument Park)</v>
      </c>
    </row>
    <row r="12" spans="1:5" x14ac:dyDescent="0.4">
      <c r="C12" s="79"/>
      <c r="D12" s="73"/>
    </row>
    <row r="13" spans="1:5" x14ac:dyDescent="0.4">
      <c r="C13" s="79"/>
      <c r="D13" s="73"/>
    </row>
    <row r="14" spans="1:5" x14ac:dyDescent="0.4">
      <c r="B14" s="34" t="str">
        <f ca="1">IF((SCHEDULE!$P6)&lt;1,SCHEDULE!$F6,_xlfn.CONCAT(SCHEDULE!$F6," - ", SCHEDULE!$G6))</f>
        <v>LG-1</v>
      </c>
      <c r="C14" s="79"/>
      <c r="D14" s="73"/>
      <c r="E14" s="62"/>
    </row>
    <row r="15" spans="1:5" ht="15.9" x14ac:dyDescent="0.4">
      <c r="B15" s="75" t="str">
        <f>_xlfn.CONCAT("(",SCHEDULE!$A6,") - ",TEXT(SCHEDULE!$C6,"DDD M/D")," ",TEXT(SCHEDULE!$D6,"H:MM AM/PM"),"
 (",SCHEDULE!$L6,")")</f>
        <v>(3) - Sun 6/28 4:00 PM
 (GV-King Road)</v>
      </c>
      <c r="C15" s="79"/>
      <c r="D15" s="73"/>
      <c r="E15" s="61" t="str">
        <f ca="1">+SCHEDULE!F12</f>
        <v>Champion</v>
      </c>
    </row>
    <row r="16" spans="1:5" x14ac:dyDescent="0.4">
      <c r="B16" s="76"/>
      <c r="C16" s="80"/>
      <c r="D16" s="73"/>
      <c r="E16" s="35"/>
    </row>
    <row r="17" spans="2:5" x14ac:dyDescent="0.4">
      <c r="B17" s="77"/>
      <c r="C17" s="34" t="str">
        <f ca="1">IF((SCHEDULE!$P8)&lt;1,SCHEDULE!$I8,_xlfn.CONCAT(SCHEDULE!$I8," - ", SCHEDULE!$J8))</f>
        <v>WG-3</v>
      </c>
      <c r="D17" s="73"/>
      <c r="E17" s="64" t="str">
        <f ca="1">IF(E15="CHAMPION","","CHAMPION")</f>
        <v/>
      </c>
    </row>
    <row r="18" spans="2:5" x14ac:dyDescent="0.4">
      <c r="B18" s="34" t="str">
        <f ca="1">IF((SCHEDULE!$P6)&lt;1,SCHEDULE!$I6,_xlfn.CONCAT(SCHEDULE!$I6," - ", SCHEDULE!$J6))</f>
        <v>LG-2</v>
      </c>
      <c r="D18" s="73"/>
    </row>
    <row r="19" spans="2:5" x14ac:dyDescent="0.4">
      <c r="D19" s="73"/>
    </row>
    <row r="20" spans="2:5" x14ac:dyDescent="0.4">
      <c r="D20" s="73"/>
    </row>
    <row r="21" spans="2:5" x14ac:dyDescent="0.4">
      <c r="D21" s="74"/>
    </row>
    <row r="22" spans="2:5" x14ac:dyDescent="0.4">
      <c r="D22" s="34" t="str">
        <f ca="1">IF((SCHEDULE!$P10)&lt;1,SCHEDULE!$I10,_xlfn.CONCAT(SCHEDULE!$I10," - ", SCHEDULE!$J10))</f>
        <v>If Necessary</v>
      </c>
    </row>
  </sheetData>
  <mergeCells count="6">
    <mergeCell ref="E2:E3"/>
    <mergeCell ref="A4:A5"/>
    <mergeCell ref="B5:B9"/>
    <mergeCell ref="D11:D21"/>
    <mergeCell ref="B15:B17"/>
    <mergeCell ref="C7:C16"/>
  </mergeCells>
  <pageMargins left="0.25" right="0.25" top="0.75" bottom="0.75" header="0.25" footer="0.25"/>
  <pageSetup orientation="landscape" r:id="rId1"/>
  <headerFooter>
    <oddHeader>&amp;F</oddHeader>
    <oddFooter>&amp;L&amp;A&amp;C&amp;D&amp;RPage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2C913-C16D-4982-B8EC-F5E1CC954EF6}">
  <dimension ref="A1:R18"/>
  <sheetViews>
    <sheetView workbookViewId="0">
      <selection activeCell="H2" sqref="H2"/>
    </sheetView>
  </sheetViews>
  <sheetFormatPr defaultColWidth="9.15234375" defaultRowHeight="14.6" x14ac:dyDescent="0.4"/>
  <cols>
    <col min="1" max="1" width="8.84375" style="42" bestFit="1" customWidth="1"/>
    <col min="2" max="2" width="3.3828125" style="24" bestFit="1" customWidth="1"/>
    <col min="3" max="3" width="14" style="24" bestFit="1" customWidth="1"/>
    <col min="4" max="4" width="11.84375" style="33" bestFit="1" customWidth="1"/>
    <col min="5" max="5" width="13.61328125" style="24" bestFit="1" customWidth="1"/>
    <col min="6" max="6" width="3.69140625" style="5" customWidth="1"/>
    <col min="7" max="7" width="11.84375" style="24" bestFit="1" customWidth="1"/>
    <col min="8" max="8" width="5.84375" style="5" bestFit="1" customWidth="1"/>
    <col min="9" max="9" width="2.84375" style="5" bestFit="1" customWidth="1"/>
    <col min="10" max="10" width="18.61328125" style="5" bestFit="1" customWidth="1"/>
    <col min="11" max="11" width="9.69140625" style="24" bestFit="1" customWidth="1"/>
    <col min="12" max="12" width="18.61328125" style="5" bestFit="1" customWidth="1"/>
    <col min="13" max="13" width="28.23046875" style="42" bestFit="1" customWidth="1"/>
    <col min="14" max="14" width="12.69140625" style="42" bestFit="1" customWidth="1"/>
    <col min="15" max="15" width="8.84375" style="42" bestFit="1" customWidth="1"/>
    <col min="16" max="16" width="13.61328125" style="42" bestFit="1" customWidth="1"/>
    <col min="17" max="17" width="18.61328125" style="42" bestFit="1" customWidth="1"/>
    <col min="18" max="18" width="7.23046875" style="42" bestFit="1" customWidth="1"/>
    <col min="19" max="19" width="5.84375" style="42" bestFit="1" customWidth="1"/>
    <col min="20" max="20" width="22.3828125" style="42" bestFit="1" customWidth="1"/>
    <col min="21" max="21" width="6.61328125" style="42" bestFit="1" customWidth="1"/>
    <col min="22" max="22" width="6.15234375" style="42" bestFit="1" customWidth="1"/>
    <col min="23" max="23" width="20.69140625" style="42" bestFit="1" customWidth="1"/>
    <col min="24" max="24" width="13.69140625" style="42" bestFit="1" customWidth="1"/>
    <col min="25" max="25" width="17.84375" style="42" bestFit="1" customWidth="1"/>
    <col min="26" max="26" width="30.23046875" style="42" bestFit="1" customWidth="1"/>
    <col min="27" max="27" width="22.3828125" style="42" bestFit="1" customWidth="1"/>
    <col min="28" max="16384" width="9.15234375" style="42"/>
  </cols>
  <sheetData>
    <row r="1" spans="1:18" s="19" customFormat="1" x14ac:dyDescent="0.4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36"/>
      <c r="G1" s="36" t="s">
        <v>4</v>
      </c>
      <c r="H1" s="54"/>
      <c r="I1" s="54"/>
      <c r="J1" s="54"/>
      <c r="K1" s="55"/>
      <c r="L1" s="1" t="s">
        <v>5</v>
      </c>
      <c r="M1" s="1" t="s">
        <v>6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</row>
    <row r="2" spans="1:18" x14ac:dyDescent="0.4">
      <c r="A2" s="37" t="str">
        <f>CONCATENATE($C$18,"-",TEXT(B2,"00"))</f>
        <v>BB-JR-01</v>
      </c>
      <c r="B2" s="37">
        <v>1</v>
      </c>
      <c r="C2" s="38">
        <f>+D2</f>
        <v>46196</v>
      </c>
      <c r="D2" s="39">
        <f>VLOOKUP($B2,SCHEDULE!$A$2:$O$18,3,FALSE)</f>
        <v>46196</v>
      </c>
      <c r="E2" s="10">
        <f>VLOOKUP($B2,SCHEDULE!$A$2:$O$18,4,FALSE)</f>
        <v>0.72916666666666663</v>
      </c>
      <c r="F2" s="40"/>
      <c r="G2" s="11" t="str">
        <f>VLOOKUP($B2,SCHEDULE!$A$2:$O$18,6,FALSE)</f>
        <v>Lower Perk</v>
      </c>
      <c r="H2" s="2"/>
      <c r="I2" s="2" t="str">
        <f>VLOOKUP($B2,SCHEDULE!$A$2:$O$18,8,FALSE)</f>
        <v>vs</v>
      </c>
      <c r="J2" s="11" t="str">
        <f>VLOOKUP($B2,SCHEDULE!$A$2:$O$18,9,FALSE)</f>
        <v>Chester Valley</v>
      </c>
      <c r="K2" s="2"/>
      <c r="L2" s="2" t="str">
        <f>VLOOKUP($B2,SCHEDULE!$A$2:$O$18,12,FALSE)</f>
        <v>LP-French Field</v>
      </c>
      <c r="M2" s="60" t="str">
        <f>VLOOKUP($B2,SCHEDULE!$A$2:$O$18,13,FALSE)</f>
        <v>Assigned by D27 Scott Bennett</v>
      </c>
      <c r="N2" s="41" t="s">
        <v>36</v>
      </c>
      <c r="O2" s="2" t="s">
        <v>37</v>
      </c>
      <c r="P2" s="2" t="str">
        <f>+$C$18</f>
        <v>BB-JR</v>
      </c>
      <c r="Q2" s="2"/>
      <c r="R2" s="2"/>
    </row>
    <row r="3" spans="1:18" x14ac:dyDescent="0.4">
      <c r="A3" s="37" t="str">
        <f>CONCATENATE($C$18,"-",TEXT(B3,"00"))</f>
        <v>BB-JR-02</v>
      </c>
      <c r="B3" s="37">
        <v>2</v>
      </c>
      <c r="C3" s="38">
        <f t="shared" ref="C3:C6" si="0">+D3</f>
        <v>46199</v>
      </c>
      <c r="D3" s="39">
        <f>VLOOKUP($B3,SCHEDULE!$A$2:$O$18,3,FALSE)</f>
        <v>46199</v>
      </c>
      <c r="E3" s="10">
        <f>VLOOKUP($B3,SCHEDULE!$A$2:$O$18,4,FALSE)</f>
        <v>0.72916666666666663</v>
      </c>
      <c r="F3" s="40"/>
      <c r="G3" s="3" t="str">
        <f ca="1">VLOOKUP($B3,SCHEDULE!$A$2:$O$18,6,FALSE)</f>
        <v>WG-1</v>
      </c>
      <c r="H3" s="2"/>
      <c r="I3" s="2" t="str">
        <f>VLOOKUP($B3,SCHEDULE!$A$2:$O$18,8,FALSE)</f>
        <v>vs</v>
      </c>
      <c r="J3" s="11" t="str">
        <f>VLOOKUP($B3,SCHEDULE!$A$2:$O$18,9,FALSE)</f>
        <v>Great Valley Exton</v>
      </c>
      <c r="K3" s="2"/>
      <c r="L3" s="2" t="str">
        <f>VLOOKUP($B3,SCHEDULE!$A$2:$O$18,12,FALSE)</f>
        <v>GV-King Road</v>
      </c>
      <c r="M3" s="60" t="str">
        <f>VLOOKUP($B3,SCHEDULE!$A$2:$O$18,13,FALSE)</f>
        <v>Assigned by D27 Scott Bennett</v>
      </c>
      <c r="N3" s="41" t="s">
        <v>36</v>
      </c>
      <c r="O3" s="2" t="s">
        <v>37</v>
      </c>
      <c r="P3" s="2" t="str">
        <f>+$C$18</f>
        <v>BB-JR</v>
      </c>
      <c r="Q3" s="2"/>
      <c r="R3" s="2"/>
    </row>
    <row r="4" spans="1:18" x14ac:dyDescent="0.4">
      <c r="A4" s="37" t="str">
        <f>CONCATENATE($C$18,"-",TEXT(B4,"00"))</f>
        <v>BB-JR-03</v>
      </c>
      <c r="B4" s="37">
        <v>3</v>
      </c>
      <c r="C4" s="38">
        <f t="shared" si="0"/>
        <v>46201</v>
      </c>
      <c r="D4" s="39">
        <f>VLOOKUP($B4,SCHEDULE!$A$2:$O$18,3,FALSE)</f>
        <v>46201</v>
      </c>
      <c r="E4" s="10">
        <f>VLOOKUP($B4,SCHEDULE!$A$2:$O$18,4,FALSE)</f>
        <v>0.66666666666666663</v>
      </c>
      <c r="F4" s="40"/>
      <c r="G4" s="3" t="str">
        <f ca="1">VLOOKUP($B4,SCHEDULE!$A$2:$O$18,6,FALSE)</f>
        <v>LG-1</v>
      </c>
      <c r="H4" s="2"/>
      <c r="I4" s="2" t="str">
        <f>VLOOKUP($B4,SCHEDULE!$A$2:$O$18,8,FALSE)</f>
        <v>vs</v>
      </c>
      <c r="J4" s="3" t="str">
        <f ca="1">VLOOKUP($B4,SCHEDULE!$A$2:$O$18,9,FALSE)</f>
        <v>LG-2</v>
      </c>
      <c r="K4" s="2"/>
      <c r="L4" s="2" t="str">
        <f>VLOOKUP($B4,SCHEDULE!$A$2:$O$18,12,FALSE)</f>
        <v>GV-King Road</v>
      </c>
      <c r="M4" s="60" t="str">
        <f>VLOOKUP($B4,SCHEDULE!$A$2:$O$18,13,FALSE)</f>
        <v>Assigned by D27 Scott Bennett</v>
      </c>
      <c r="N4" s="41" t="s">
        <v>36</v>
      </c>
      <c r="O4" s="2" t="s">
        <v>37</v>
      </c>
      <c r="P4" s="2" t="str">
        <f>+$C$18</f>
        <v>BB-JR</v>
      </c>
      <c r="Q4" s="2"/>
      <c r="R4" s="2"/>
    </row>
    <row r="5" spans="1:18" x14ac:dyDescent="0.4">
      <c r="A5" s="37" t="str">
        <f>CONCATENATE($C$18,"-",TEXT(B5,"00"))</f>
        <v>BB-JR-04</v>
      </c>
      <c r="B5" s="37">
        <v>4</v>
      </c>
      <c r="C5" s="22">
        <f t="shared" si="0"/>
        <v>46203</v>
      </c>
      <c r="D5" s="43">
        <f>VLOOKUP($B5,SCHEDULE!$A$2:$O$18,3,FALSE)</f>
        <v>46203</v>
      </c>
      <c r="E5" s="23">
        <f>VLOOKUP($B5,SCHEDULE!$A$2:$O$18,4,FALSE)</f>
        <v>0.72916666666666663</v>
      </c>
      <c r="F5" s="40"/>
      <c r="G5" s="3" t="str">
        <f ca="1">VLOOKUP($B5,SCHEDULE!$A$2:$O$18,6,FALSE)</f>
        <v>WG-2</v>
      </c>
      <c r="H5" s="2"/>
      <c r="I5" s="2" t="str">
        <f>VLOOKUP($B5,SCHEDULE!$A$2:$O$18,8,FALSE)</f>
        <v>vs</v>
      </c>
      <c r="J5" s="3" t="str">
        <f ca="1">VLOOKUP($B5,SCHEDULE!$A$2:$O$18,9,FALSE)</f>
        <v>WG-3</v>
      </c>
      <c r="K5" s="2"/>
      <c r="L5" s="2" t="str">
        <f>VLOOKUP($B5,SCHEDULE!$A$2:$O$18,12,FALSE)</f>
        <v>CV-Monument Park</v>
      </c>
      <c r="M5" s="60" t="str">
        <f>VLOOKUP($B5,SCHEDULE!$A$2:$O$18,13,FALSE)</f>
        <v>Assigned by D27 Scott Bennett</v>
      </c>
      <c r="N5" s="41" t="s">
        <v>36</v>
      </c>
      <c r="O5" s="2" t="s">
        <v>37</v>
      </c>
      <c r="P5" s="2" t="str">
        <f>+$C$18</f>
        <v>BB-JR</v>
      </c>
      <c r="Q5" s="59" t="s">
        <v>34</v>
      </c>
      <c r="R5" s="2"/>
    </row>
    <row r="6" spans="1:18" x14ac:dyDescent="0.4">
      <c r="A6" s="37" t="str">
        <f>CONCATENATE($C$18,"-",TEXT(B6,"00"))</f>
        <v>BB-JR-05</v>
      </c>
      <c r="B6" s="37">
        <v>5</v>
      </c>
      <c r="C6" s="22">
        <f t="shared" si="0"/>
        <v>46204</v>
      </c>
      <c r="D6" s="43">
        <f>VLOOKUP($B6,SCHEDULE!$A$2:$O$18,3,FALSE)</f>
        <v>46204</v>
      </c>
      <c r="E6" s="23">
        <f>VLOOKUP($B6,SCHEDULE!$A$2:$O$18,4,FALSE)</f>
        <v>0.72916666666666663</v>
      </c>
      <c r="F6" s="40"/>
      <c r="G6" s="3" t="str">
        <f ca="1">VLOOKUP($B6,SCHEDULE!$A$2:$O$18,6,FALSE)</f>
        <v>WG-4</v>
      </c>
      <c r="H6" s="2"/>
      <c r="I6" s="2" t="str">
        <f>VLOOKUP($B6,SCHEDULE!$A$2:$O$18,8,FALSE)</f>
        <v>vs</v>
      </c>
      <c r="J6" s="3" t="str">
        <f ca="1">VLOOKUP($B6,SCHEDULE!$A$2:$O$18,9,FALSE)</f>
        <v>If Necessary</v>
      </c>
      <c r="K6" s="2"/>
      <c r="L6" s="2" t="str">
        <f>VLOOKUP($B6,SCHEDULE!$A$2:$O$18,12,FALSE)</f>
        <v>CV-Monument Park</v>
      </c>
      <c r="M6" s="60" t="str">
        <f>VLOOKUP($B6,SCHEDULE!$A$2:$O$18,13,FALSE)</f>
        <v>Assigned by D27 Scott Bennett</v>
      </c>
      <c r="N6" s="41" t="s">
        <v>36</v>
      </c>
      <c r="O6" s="2" t="s">
        <v>37</v>
      </c>
      <c r="P6" s="2" t="str">
        <f>+$C$18</f>
        <v>BB-JR</v>
      </c>
      <c r="Q6" s="59" t="s">
        <v>27</v>
      </c>
      <c r="R6" s="2"/>
    </row>
    <row r="10" spans="1:18" x14ac:dyDescent="0.4">
      <c r="B10" s="6" t="s">
        <v>10</v>
      </c>
      <c r="C10" s="6" t="s">
        <v>11</v>
      </c>
      <c r="D10" s="6" t="s">
        <v>38</v>
      </c>
      <c r="E10" s="6" t="s">
        <v>39</v>
      </c>
      <c r="F10" s="6"/>
      <c r="G10" s="6" t="s">
        <v>40</v>
      </c>
      <c r="H10" s="6" t="s">
        <v>41</v>
      </c>
      <c r="I10" s="6"/>
      <c r="J10" s="6" t="s">
        <v>13</v>
      </c>
      <c r="K10" s="6" t="s">
        <v>42</v>
      </c>
      <c r="L10" s="6" t="s">
        <v>43</v>
      </c>
      <c r="M10" s="6" t="str">
        <f t="shared" ref="M10:M13" si="1">+C10</f>
        <v>Team</v>
      </c>
      <c r="N10" s="6" t="s">
        <v>12</v>
      </c>
      <c r="O10" s="6" t="str">
        <f t="shared" ref="O10:P13" si="2">+D10</f>
        <v>Manager</v>
      </c>
      <c r="P10" s="6" t="str">
        <f t="shared" si="2"/>
        <v>Email Address</v>
      </c>
      <c r="Q10" s="6" t="str">
        <f>+J10</f>
        <v>Park</v>
      </c>
    </row>
    <row r="11" spans="1:18" x14ac:dyDescent="0.4">
      <c r="B11" s="44">
        <v>1</v>
      </c>
      <c r="C11" s="13" t="s">
        <v>44</v>
      </c>
      <c r="D11" s="13"/>
      <c r="E11" s="45"/>
      <c r="F11" s="14"/>
      <c r="G11" s="14"/>
      <c r="H11" s="14" t="s">
        <v>45</v>
      </c>
      <c r="I11" s="14"/>
      <c r="J11" s="13" t="s">
        <v>25</v>
      </c>
      <c r="K11" s="46">
        <v>11.05</v>
      </c>
      <c r="L11" s="44">
        <f>RANK($K11,K$11:K$13,1)</f>
        <v>2</v>
      </c>
      <c r="M11" s="47" t="str">
        <f t="shared" si="1"/>
        <v>Chester Valley</v>
      </c>
      <c r="N11" s="48" t="str">
        <f>_xlfn.CONCAT($H11,$C$17)</f>
        <v>CV-D27-BBJR</v>
      </c>
      <c r="O11" s="44">
        <f t="shared" si="2"/>
        <v>0</v>
      </c>
      <c r="P11" s="44">
        <f t="shared" si="2"/>
        <v>0</v>
      </c>
      <c r="Q11" s="48" t="str">
        <f t="shared" ref="Q11:Q13" si="3">IF(J11&lt;&gt;"",J11,"")</f>
        <v>CV-Monument Park</v>
      </c>
    </row>
    <row r="12" spans="1:18" x14ac:dyDescent="0.4">
      <c r="B12" s="44">
        <f t="shared" ref="B12:B13" si="4">+B11+1</f>
        <v>2</v>
      </c>
      <c r="C12" s="13" t="s">
        <v>53</v>
      </c>
      <c r="D12" s="13"/>
      <c r="E12" s="13"/>
      <c r="F12" s="14"/>
      <c r="G12" s="14"/>
      <c r="H12" s="14" t="s">
        <v>52</v>
      </c>
      <c r="I12" s="14"/>
      <c r="J12" s="13" t="s">
        <v>18</v>
      </c>
      <c r="K12" s="46">
        <v>16.04</v>
      </c>
      <c r="L12" s="44">
        <f>RANK($K12,K$11:K$13,1)</f>
        <v>3</v>
      </c>
      <c r="M12" s="47" t="str">
        <f t="shared" si="1"/>
        <v>Great Valley Exton</v>
      </c>
      <c r="N12" s="48" t="str">
        <f>_xlfn.CONCAT($H12,$C$17)</f>
        <v>GVE-D27-BBJR</v>
      </c>
      <c r="O12" s="44">
        <f t="shared" si="2"/>
        <v>0</v>
      </c>
      <c r="P12" s="44">
        <f t="shared" si="2"/>
        <v>0</v>
      </c>
      <c r="Q12" s="48" t="str">
        <f t="shared" si="3"/>
        <v>GV-King Road</v>
      </c>
    </row>
    <row r="13" spans="1:18" x14ac:dyDescent="0.4">
      <c r="B13" s="44">
        <f t="shared" si="4"/>
        <v>3</v>
      </c>
      <c r="C13" s="13" t="s">
        <v>46</v>
      </c>
      <c r="D13" s="13"/>
      <c r="E13" s="13"/>
      <c r="F13" s="14"/>
      <c r="G13" s="14"/>
      <c r="H13" s="14" t="s">
        <v>47</v>
      </c>
      <c r="I13" s="14"/>
      <c r="J13" s="13" t="s">
        <v>16</v>
      </c>
      <c r="K13" s="46">
        <v>9.08</v>
      </c>
      <c r="L13" s="44">
        <f>RANK($K13,K$11:K$13,1)</f>
        <v>1</v>
      </c>
      <c r="M13" s="47" t="str">
        <f t="shared" si="1"/>
        <v>Lower Perk</v>
      </c>
      <c r="N13" s="48" t="str">
        <f>_xlfn.CONCAT($H13,$C$17)</f>
        <v>LP-D27-BBJR</v>
      </c>
      <c r="O13" s="44">
        <f t="shared" si="2"/>
        <v>0</v>
      </c>
      <c r="P13" s="44">
        <f t="shared" si="2"/>
        <v>0</v>
      </c>
      <c r="Q13" s="48" t="str">
        <f t="shared" si="3"/>
        <v>LP-French Field</v>
      </c>
    </row>
    <row r="14" spans="1:18" x14ac:dyDescent="0.4">
      <c r="B14" s="2"/>
      <c r="C14" s="20"/>
      <c r="D14" s="20"/>
      <c r="E14" s="20"/>
      <c r="F14" s="2"/>
      <c r="G14" s="2"/>
      <c r="H14" s="2"/>
      <c r="I14" s="2"/>
      <c r="J14" s="20"/>
      <c r="K14" s="49"/>
      <c r="L14" s="2"/>
      <c r="M14" s="50"/>
      <c r="N14" s="50"/>
      <c r="O14" s="37"/>
      <c r="P14" s="37"/>
      <c r="Q14" s="50"/>
    </row>
    <row r="15" spans="1:18" x14ac:dyDescent="0.4">
      <c r="B15" s="2"/>
      <c r="C15" s="20"/>
      <c r="D15" s="20"/>
      <c r="E15" s="20"/>
      <c r="F15" s="2"/>
      <c r="G15" s="2"/>
      <c r="H15" s="2"/>
      <c r="I15" s="2"/>
      <c r="J15" s="20"/>
      <c r="K15" s="49"/>
      <c r="L15" s="21"/>
      <c r="M15" s="50"/>
      <c r="N15" s="50"/>
      <c r="O15" s="37"/>
      <c r="P15" s="37"/>
      <c r="Q15" s="50"/>
    </row>
    <row r="16" spans="1:18" x14ac:dyDescent="0.4">
      <c r="D16" s="24"/>
      <c r="F16" s="24"/>
      <c r="H16" s="24"/>
      <c r="I16" s="24"/>
      <c r="J16" s="24"/>
      <c r="L16" s="24"/>
      <c r="M16" s="24"/>
      <c r="N16" s="24"/>
      <c r="O16" s="24"/>
    </row>
    <row r="17" spans="2:15" x14ac:dyDescent="0.4">
      <c r="C17" s="51" t="s">
        <v>51</v>
      </c>
      <c r="D17" s="52" t="s">
        <v>48</v>
      </c>
      <c r="E17" s="53"/>
      <c r="F17" s="53"/>
      <c r="H17" s="24"/>
      <c r="I17" s="24"/>
      <c r="J17" s="24"/>
      <c r="L17" s="24"/>
      <c r="M17" s="24"/>
      <c r="N17" s="24"/>
      <c r="O17" s="24"/>
    </row>
    <row r="18" spans="2:15" x14ac:dyDescent="0.4">
      <c r="B18" s="5"/>
      <c r="C18" s="51" t="s">
        <v>49</v>
      </c>
      <c r="D18" s="52" t="s">
        <v>33</v>
      </c>
      <c r="E18" s="5"/>
      <c r="F18" s="24"/>
      <c r="G18" s="5"/>
      <c r="J18" s="24"/>
      <c r="M18" s="24"/>
      <c r="N18" s="5"/>
      <c r="O18" s="5"/>
    </row>
  </sheetData>
  <conditionalFormatting sqref="N2:N6">
    <cfRule type="cellIs" dxfId="1" priority="1" operator="equal">
      <formula>"Softball"</formula>
    </cfRule>
    <cfRule type="cellIs" dxfId="0" priority="2" operator="equal">
      <formula>"Baseball"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SCHEDULE</vt:lpstr>
      <vt:lpstr>BRACKET</vt:lpstr>
      <vt:lpstr>D27</vt:lpstr>
      <vt:lpstr>SCHEDULE!Print_Titles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Jeff Bennett</cp:lastModifiedBy>
  <cp:lastPrinted>2026-06-04T05:33:47Z</cp:lastPrinted>
  <dcterms:created xsi:type="dcterms:W3CDTF">2025-05-27T13:29:22Z</dcterms:created>
  <dcterms:modified xsi:type="dcterms:W3CDTF">2026-06-04T05:54:22Z</dcterms:modified>
</cp:coreProperties>
</file>