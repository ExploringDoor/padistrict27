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JB_Flash_Drive\Jeff\ELL_2026\PA_District_27\All_Stars\Schedules\International Tournaments\"/>
    </mc:Choice>
  </mc:AlternateContent>
  <xr:revisionPtr revIDLastSave="0" documentId="13_ncr:1_{336C14DE-5B15-415E-94A0-D2949636E79D}" xr6:coauthVersionLast="47" xr6:coauthVersionMax="47" xr10:uidLastSave="{00000000-0000-0000-0000-000000000000}"/>
  <bookViews>
    <workbookView xWindow="-103" yWindow="-103" windowWidth="27634" windowHeight="16629" activeTab="1" xr2:uid="{ABFB1866-0C1D-492E-B472-7DB8A8A06FF0}"/>
  </bookViews>
  <sheets>
    <sheet name="SCHEDULE" sheetId="1" r:id="rId1"/>
    <sheet name="BRACKET" sheetId="2" r:id="rId2"/>
    <sheet name="D27" sheetId="3" state="hidden" r:id="rId3"/>
  </sheets>
  <definedNames>
    <definedName name="_xlnm.Print_Titles" localSheetId="0">SCHEDULE!$1:$1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P12" i="1"/>
  <c r="P11" i="1"/>
  <c r="Q22" i="3"/>
  <c r="P22" i="3"/>
  <c r="O22" i="3"/>
  <c r="N22" i="3"/>
  <c r="M22" i="3"/>
  <c r="Q21" i="3"/>
  <c r="P21" i="3"/>
  <c r="O21" i="3"/>
  <c r="N21" i="3"/>
  <c r="M21" i="3"/>
  <c r="Q20" i="3"/>
  <c r="P20" i="3"/>
  <c r="O20" i="3"/>
  <c r="N20" i="3"/>
  <c r="M20" i="3"/>
  <c r="Q19" i="3"/>
  <c r="P19" i="3"/>
  <c r="O19" i="3"/>
  <c r="N19" i="3"/>
  <c r="M19" i="3"/>
  <c r="Q18" i="3"/>
  <c r="P18" i="3"/>
  <c r="O18" i="3"/>
  <c r="N18" i="3"/>
  <c r="M18" i="3"/>
  <c r="E11" i="2"/>
  <c r="D5" i="2"/>
  <c r="B15" i="2"/>
  <c r="B3" i="2"/>
  <c r="F18" i="2"/>
  <c r="B35" i="2"/>
  <c r="B26" i="2"/>
  <c r="A13" i="2"/>
  <c r="A7" i="2"/>
  <c r="B12" i="1"/>
  <c r="B11" i="1"/>
  <c r="B9" i="1"/>
  <c r="B8" i="1"/>
  <c r="B6" i="1"/>
  <c r="B5" i="1"/>
  <c r="B3" i="1"/>
  <c r="M11" i="3"/>
  <c r="L11" i="3"/>
  <c r="K11" i="3"/>
  <c r="I11" i="3"/>
  <c r="H11" i="3"/>
  <c r="E11" i="3"/>
  <c r="D11" i="3"/>
  <c r="M3" i="3"/>
  <c r="L3" i="3"/>
  <c r="K3" i="3"/>
  <c r="I3" i="3"/>
  <c r="H3" i="3"/>
  <c r="E3" i="3"/>
  <c r="D3" i="3"/>
  <c r="M2" i="3"/>
  <c r="L2" i="3"/>
  <c r="K2" i="3"/>
  <c r="I2" i="3"/>
  <c r="H2" i="3"/>
  <c r="E2" i="3"/>
  <c r="D2" i="3"/>
  <c r="C2" i="3" s="1"/>
  <c r="AB10" i="1"/>
  <c r="A11" i="3"/>
  <c r="A2" i="3"/>
  <c r="P12" i="3"/>
  <c r="P11" i="3"/>
  <c r="P10" i="3"/>
  <c r="P9" i="3"/>
  <c r="P8" i="3"/>
  <c r="P7" i="3"/>
  <c r="P6" i="3"/>
  <c r="P5" i="3"/>
  <c r="P4" i="3"/>
  <c r="P3" i="3"/>
  <c r="P2" i="3"/>
  <c r="L22" i="3"/>
  <c r="L21" i="3"/>
  <c r="L20" i="3"/>
  <c r="L19" i="3"/>
  <c r="L18" i="3"/>
  <c r="B18" i="3"/>
  <c r="B19" i="3" s="1"/>
  <c r="B20" i="3" s="1"/>
  <c r="B21" i="3" s="1"/>
  <c r="B22" i="3" s="1"/>
  <c r="Q17" i="3"/>
  <c r="P17" i="3"/>
  <c r="O17" i="3"/>
  <c r="N17" i="3"/>
  <c r="M17" i="3"/>
  <c r="L17" i="3"/>
  <c r="Q16" i="3"/>
  <c r="P16" i="3"/>
  <c r="O16" i="3"/>
  <c r="M16" i="3"/>
  <c r="Z2" i="1" l="1"/>
  <c r="AA2" i="1"/>
  <c r="AB2" i="1" s="1"/>
  <c r="Y2" i="1"/>
  <c r="R2" i="1" s="1"/>
  <c r="F2" i="1" s="1"/>
  <c r="A3" i="3"/>
  <c r="C3" i="3"/>
  <c r="K4" i="3" l="1"/>
  <c r="E4" i="3"/>
  <c r="M4" i="3"/>
  <c r="L4" i="3"/>
  <c r="I4" i="3"/>
  <c r="H4" i="3"/>
  <c r="D4" i="3"/>
  <c r="A4" i="3"/>
  <c r="C4" i="3" l="1"/>
  <c r="L5" i="3"/>
  <c r="K5" i="3"/>
  <c r="I5" i="3"/>
  <c r="H5" i="3"/>
  <c r="D5" i="3"/>
  <c r="M5" i="3"/>
  <c r="E5" i="3"/>
  <c r="A5" i="3"/>
  <c r="C5" i="3" l="1"/>
  <c r="M6" i="3"/>
  <c r="K6" i="3"/>
  <c r="H6" i="3"/>
  <c r="D6" i="3"/>
  <c r="L6" i="3"/>
  <c r="I6" i="3"/>
  <c r="E6" i="3"/>
  <c r="A6" i="3"/>
  <c r="C6" i="3" l="1"/>
  <c r="L7" i="3"/>
  <c r="H7" i="3"/>
  <c r="D7" i="3"/>
  <c r="M7" i="3"/>
  <c r="K7" i="3"/>
  <c r="I7" i="3"/>
  <c r="E7" i="3"/>
  <c r="A7" i="3"/>
  <c r="C7" i="3" l="1"/>
  <c r="M8" i="3"/>
  <c r="I8" i="3"/>
  <c r="E8" i="3"/>
  <c r="L8" i="3"/>
  <c r="K8" i="3"/>
  <c r="H8" i="3"/>
  <c r="D8" i="3"/>
  <c r="A8" i="3"/>
  <c r="C8" i="3" l="1"/>
  <c r="M9" i="3"/>
  <c r="L9" i="3"/>
  <c r="I9" i="3"/>
  <c r="E9" i="3"/>
  <c r="K9" i="3"/>
  <c r="H9" i="3"/>
  <c r="D9" i="3"/>
  <c r="A9" i="3"/>
  <c r="C9" i="3" l="1"/>
  <c r="M10" i="3"/>
  <c r="K10" i="3"/>
  <c r="I10" i="3"/>
  <c r="E10" i="3"/>
  <c r="L10" i="3"/>
  <c r="H10" i="3"/>
  <c r="D10" i="3"/>
  <c r="A10" i="3"/>
  <c r="C10" i="3" l="1"/>
  <c r="C11" i="3" l="1"/>
  <c r="M12" i="3" l="1"/>
  <c r="L12" i="3"/>
  <c r="K12" i="3"/>
  <c r="I12" i="3"/>
  <c r="H12" i="3"/>
  <c r="E12" i="3"/>
  <c r="D12" i="3"/>
  <c r="A12" i="3"/>
  <c r="C12" i="3" l="1"/>
  <c r="C28" i="2"/>
  <c r="D23" i="2"/>
  <c r="P18" i="1" l="1"/>
  <c r="B18" i="1"/>
  <c r="P16" i="1"/>
  <c r="B16" i="1"/>
  <c r="P14" i="1"/>
  <c r="P9" i="1"/>
  <c r="P8" i="1"/>
  <c r="P6" i="1"/>
  <c r="P5" i="1"/>
  <c r="P3" i="1"/>
  <c r="P2" i="1"/>
  <c r="B2" i="1"/>
  <c r="Y3" i="1" l="1"/>
  <c r="U2" i="1" s="1"/>
  <c r="I2" i="1" s="1"/>
  <c r="Z3" i="1"/>
  <c r="AA3" i="1"/>
  <c r="AB3" i="1" s="1"/>
  <c r="Y4" i="1" l="1"/>
  <c r="R3" i="1" s="1"/>
  <c r="F3" i="1" s="1"/>
  <c r="AA4" i="1"/>
  <c r="AB4" i="1" s="1"/>
  <c r="Z4" i="1"/>
  <c r="F8" i="1" a="1"/>
  <c r="G3" i="3" l="1"/>
  <c r="A12" i="2"/>
  <c r="F8" i="1"/>
  <c r="G2" i="3"/>
  <c r="A6" i="2"/>
  <c r="Y5" i="1"/>
  <c r="U3" i="1" s="1"/>
  <c r="I3" i="1" s="1"/>
  <c r="Z5" i="1"/>
  <c r="AA5" i="1"/>
  <c r="AB5" i="1" s="1"/>
  <c r="F9" i="1" a="1"/>
  <c r="I5" i="1" a="1"/>
  <c r="F9" i="1" l="1"/>
  <c r="I5" i="1"/>
  <c r="J2" i="3"/>
  <c r="B25" i="2"/>
  <c r="A10" i="2"/>
  <c r="AA6" i="1"/>
  <c r="AB6" i="1" s="1"/>
  <c r="Y6" i="1"/>
  <c r="R5" i="1" s="1"/>
  <c r="F5" i="1" s="1"/>
  <c r="Z6" i="1"/>
  <c r="F6" i="1" a="1"/>
  <c r="G4" i="3" l="1"/>
  <c r="B2" i="2"/>
  <c r="F6" i="1"/>
  <c r="J3" i="3"/>
  <c r="B8" i="2"/>
  <c r="A16" i="2"/>
  <c r="AA7" i="1"/>
  <c r="AB7" i="1" s="1"/>
  <c r="AB12" i="1" s="1"/>
  <c r="Y7" i="1"/>
  <c r="U6" i="1" s="1"/>
  <c r="I6" i="1" s="1"/>
  <c r="Z7" i="1"/>
  <c r="F11" i="1" a="1"/>
  <c r="F11" i="1" l="1"/>
  <c r="D4" i="2" s="1"/>
  <c r="J5" i="3"/>
  <c r="B20" i="2"/>
  <c r="G5" i="3"/>
  <c r="J4" i="3"/>
  <c r="B14" i="2"/>
  <c r="G6" i="3"/>
  <c r="I11" i="1" a="1"/>
  <c r="I8" i="1" a="1"/>
  <c r="I9" i="1" a="1"/>
  <c r="I9" i="1" l="1"/>
  <c r="J7" i="3" s="1"/>
  <c r="I8" i="1"/>
  <c r="J6" i="3" s="1"/>
  <c r="I11" i="1"/>
  <c r="J8" i="3" s="1"/>
  <c r="I12" i="1" a="1"/>
  <c r="F16" i="1" a="1"/>
  <c r="F12" i="1" a="1"/>
  <c r="I14" i="1" a="1"/>
  <c r="D18" i="2" l="1"/>
  <c r="B29" i="2"/>
  <c r="B38" i="2"/>
  <c r="I14" i="1"/>
  <c r="D22" i="2" s="1"/>
  <c r="F12" i="1"/>
  <c r="G9" i="3" s="1"/>
  <c r="I12" i="1"/>
  <c r="F16" i="1"/>
  <c r="G8" i="3"/>
  <c r="G7" i="3"/>
  <c r="B34" i="2"/>
  <c r="J10" i="3" l="1"/>
  <c r="C36" i="2"/>
  <c r="C27" i="2"/>
  <c r="G11" i="3"/>
  <c r="E10" i="2"/>
  <c r="J9" i="3"/>
  <c r="F14" i="1" a="1"/>
  <c r="F14" i="1" l="1"/>
  <c r="D32" i="2" s="1"/>
  <c r="I18" i="1" a="1"/>
  <c r="I16" i="1" a="1"/>
  <c r="G10" i="3" l="1"/>
  <c r="I18" i="1"/>
  <c r="I16" i="1"/>
  <c r="F18" i="1" a="1"/>
  <c r="F18" i="1" l="1"/>
  <c r="F38" i="2"/>
  <c r="J12" i="3"/>
  <c r="J11" i="3"/>
  <c r="E27" i="2"/>
  <c r="F20" i="1" a="1"/>
  <c r="F20" i="1" l="1"/>
  <c r="G26" i="2" s="1"/>
  <c r="G27" i="2" s="1"/>
  <c r="G12" i="3"/>
  <c r="F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<sst xmlns="http://schemas.openxmlformats.org/spreadsheetml/2006/main" count="144" uniqueCount="74">
  <si>
    <t>G #</t>
  </si>
  <si>
    <t>Day</t>
  </si>
  <si>
    <t>Date</t>
  </si>
  <si>
    <t>Time</t>
  </si>
  <si>
    <t>Teams &amp; Scores</t>
  </si>
  <si>
    <t>SUM</t>
  </si>
  <si>
    <t>Teams</t>
  </si>
  <si>
    <t>#</t>
  </si>
  <si>
    <t>Team</t>
  </si>
  <si>
    <t>vs</t>
  </si>
  <si>
    <t xml:space="preserve"> </t>
  </si>
  <si>
    <t>WG-1</t>
  </si>
  <si>
    <t>WG-2</t>
  </si>
  <si>
    <t>WG-3</t>
  </si>
  <si>
    <t>LG-2</t>
  </si>
  <si>
    <t>LG-3</t>
  </si>
  <si>
    <t>LG-1</t>
  </si>
  <si>
    <t>WG-6</t>
  </si>
  <si>
    <t>LG-4</t>
  </si>
  <si>
    <t>WG-4</t>
  </si>
  <si>
    <t>WG-5</t>
  </si>
  <si>
    <t>WG-8</t>
  </si>
  <si>
    <t>WG-10</t>
  </si>
  <si>
    <t>WG-9</t>
  </si>
  <si>
    <t>Champion</t>
  </si>
  <si>
    <t>Exton</t>
  </si>
  <si>
    <t>G#</t>
  </si>
  <si>
    <t>Division</t>
  </si>
  <si>
    <t>Level</t>
  </si>
  <si>
    <t>Tournament</t>
  </si>
  <si>
    <t>Championship</t>
  </si>
  <si>
    <t>D27 DA</t>
  </si>
  <si>
    <t>D27</t>
  </si>
  <si>
    <t>If Necessary</t>
  </si>
  <si>
    <t>Manager</t>
  </si>
  <si>
    <t>Email Address</t>
  </si>
  <si>
    <t>Cell Phone</t>
  </si>
  <si>
    <t>ABBV</t>
  </si>
  <si>
    <t>Park</t>
  </si>
  <si>
    <t>Random #</t>
  </si>
  <si>
    <t>Order</t>
  </si>
  <si>
    <t>GC Name</t>
  </si>
  <si>
    <t>BP-Field of Dreams</t>
  </si>
  <si>
    <t>Chester Valley</t>
  </si>
  <si>
    <t>CV</t>
  </si>
  <si>
    <t>Lower Merion</t>
  </si>
  <si>
    <t>LM</t>
  </si>
  <si>
    <t>Lower Perk</t>
  </si>
  <si>
    <t>LP</t>
  </si>
  <si>
    <t>LP-Palmer Park</t>
  </si>
  <si>
    <t>Radnor/Wayne</t>
  </si>
  <si>
    <t>RW</t>
  </si>
  <si>
    <t>GC Abbrev</t>
  </si>
  <si>
    <t>Game Abbrev</t>
  </si>
  <si>
    <t>DSBP</t>
  </si>
  <si>
    <t>CV-Mill Rd Park</t>
  </si>
  <si>
    <t>EX-Manor Park</t>
  </si>
  <si>
    <t>R/W-Tunnell Park</t>
  </si>
  <si>
    <t>EX</t>
  </si>
  <si>
    <t>-D27-SB12</t>
  </si>
  <si>
    <t>SB-12</t>
  </si>
  <si>
    <t>Softball</t>
  </si>
  <si>
    <t>Host/Park/Field</t>
  </si>
  <si>
    <t>Umpire(s)</t>
  </si>
  <si>
    <t>Umpire (bases)</t>
  </si>
  <si>
    <t>Host</t>
  </si>
  <si>
    <t>Total</t>
  </si>
  <si>
    <t>LM-S. Ardmore Park</t>
  </si>
  <si>
    <t>PA District 27</t>
  </si>
  <si>
    <t>LL International</t>
  </si>
  <si>
    <t>Little League Softball</t>
  </si>
  <si>
    <t>Updates</t>
  </si>
  <si>
    <t>LG-7</t>
  </si>
  <si>
    <t>D27 Umpires (assigned by Gary Hall)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</si>
</sst>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"/>
    <numFmt numFmtId="165" formatCode="mmm\-dd\-yyyy"/>
    <numFmt numFmtId="166" formatCode="dd\-mmm\-yy"/>
  </numFmts>
  <fonts count="1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9"/>
      <name val="Aptos Narrow"/>
      <family val="2"/>
    </font>
    <font>
      <b/>
      <u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24"/>
      <name val="Calibri"/>
      <family val="2"/>
    </font>
    <font>
      <sz val="1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87">
    <xf numFmtId="0" fontId="0" fillId="0" borderId="0" xfId="0"/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7" fillId="0" borderId="0" xfId="0" applyFont="1"/>
    <xf numFmtId="0" fontId="7" fillId="3" borderId="1" xfId="1" applyFont="1" applyFill="1" applyBorder="1" applyAlignment="1">
      <alignment horizontal="center" vertical="center"/>
    </xf>
    <xf numFmtId="164" fontId="7" fillId="3" borderId="1" xfId="1" applyNumberFormat="1" applyFont="1" applyFill="1" applyBorder="1" applyAlignment="1">
      <alignment horizontal="center" vertical="center"/>
    </xf>
    <xf numFmtId="165" fontId="7" fillId="3" borderId="1" xfId="1" applyNumberFormat="1" applyFont="1" applyFill="1" applyBorder="1" applyAlignment="1">
      <alignment horizontal="center" vertical="center"/>
    </xf>
    <xf numFmtId="18" fontId="7" fillId="3" borderId="1" xfId="1" applyNumberFormat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9" fillId="0" borderId="0" xfId="0" applyFont="1"/>
    <xf numFmtId="0" fontId="7" fillId="0" borderId="1" xfId="1" applyFont="1" applyBorder="1" applyAlignment="1">
      <alignment vertical="center"/>
    </xf>
    <xf numFmtId="164" fontId="7" fillId="6" borderId="1" xfId="1" applyNumberFormat="1" applyFont="1" applyFill="1" applyBorder="1" applyAlignment="1">
      <alignment horizontal="center" vertical="center"/>
    </xf>
    <xf numFmtId="165" fontId="7" fillId="6" borderId="1" xfId="1" applyNumberFormat="1" applyFont="1" applyFill="1" applyBorder="1" applyAlignment="1">
      <alignment horizontal="center" vertical="center"/>
    </xf>
    <xf numFmtId="18" fontId="7" fillId="6" borderId="1" xfId="1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vertical="center"/>
    </xf>
    <xf numFmtId="0" fontId="11" fillId="8" borderId="1" xfId="2" applyFont="1" applyFill="1" applyBorder="1" applyAlignment="1">
      <alignment vertical="center"/>
    </xf>
    <xf numFmtId="0" fontId="7" fillId="8" borderId="1" xfId="1" applyFont="1" applyFill="1" applyBorder="1" applyAlignment="1">
      <alignment horizontal="center" vertical="center"/>
    </xf>
    <xf numFmtId="2" fontId="7" fillId="8" borderId="1" xfId="1" applyNumberFormat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left" vertical="center"/>
    </xf>
    <xf numFmtId="0" fontId="7" fillId="7" borderId="1" xfId="1" applyFont="1" applyFill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2" fontId="7" fillId="0" borderId="1" xfId="1" applyNumberFormat="1" applyFont="1" applyBorder="1" applyAlignment="1">
      <alignment horizontal="center" vertical="center"/>
    </xf>
    <xf numFmtId="0" fontId="7" fillId="3" borderId="1" xfId="1" applyFont="1" applyFill="1" applyBorder="1" applyAlignment="1">
      <alignment vertical="center"/>
    </xf>
    <xf numFmtId="0" fontId="8" fillId="0" borderId="1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" xfId="1" quotePrefix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1" quotePrefix="1" applyFont="1" applyAlignment="1">
      <alignment horizontal="center" vertical="center"/>
    </xf>
    <xf numFmtId="0" fontId="7" fillId="0" borderId="0" xfId="1" applyFont="1" applyAlignment="1">
      <alignment vertical="center"/>
    </xf>
    <xf numFmtId="166" fontId="7" fillId="0" borderId="0" xfId="1" applyNumberFormat="1" applyFont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0" fontId="9" fillId="0" borderId="0" xfId="0" applyFont="1" applyAlignment="1">
      <alignment vertical="center"/>
    </xf>
    <xf numFmtId="1" fontId="7" fillId="0" borderId="0" xfId="1" applyNumberFormat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right" vertical="center"/>
    </xf>
    <xf numFmtId="0" fontId="8" fillId="5" borderId="1" xfId="1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16" fontId="7" fillId="3" borderId="1" xfId="1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6" fontId="7" fillId="10" borderId="1" xfId="0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0" xfId="1" applyNumberFormat="1" applyFont="1" applyAlignment="1">
      <alignment vertical="center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13" fillId="4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5" fillId="7" borderId="5" xfId="0" quotePrefix="1" applyFont="1" applyFill="1" applyBorder="1" applyAlignment="1">
      <alignment horizontal="right" vertical="center" wrapText="1"/>
    </xf>
    <xf numFmtId="0" fontId="5" fillId="7" borderId="6" xfId="0" quotePrefix="1" applyFont="1" applyFill="1" applyBorder="1" applyAlignment="1">
      <alignment horizontal="right" vertical="center" wrapText="1"/>
    </xf>
    <xf numFmtId="0" fontId="5" fillId="7" borderId="8" xfId="0" applyFont="1" applyFill="1" applyBorder="1" applyAlignment="1">
      <alignment horizontal="right" vertical="center" wrapText="1"/>
    </xf>
    <xf numFmtId="0" fontId="5" fillId="6" borderId="5" xfId="0" quotePrefix="1" applyFont="1" applyFill="1" applyBorder="1" applyAlignment="1">
      <alignment horizontal="right" vertical="center" wrapText="1"/>
    </xf>
    <xf numFmtId="0" fontId="5" fillId="6" borderId="6" xfId="0" applyFont="1" applyFill="1" applyBorder="1" applyAlignment="1">
      <alignment horizontal="right" vertical="center"/>
    </xf>
    <xf numFmtId="0" fontId="5" fillId="6" borderId="8" xfId="0" applyFont="1" applyFill="1" applyBorder="1" applyAlignment="1">
      <alignment horizontal="right" vertical="center"/>
    </xf>
    <xf numFmtId="0" fontId="5" fillId="14" borderId="5" xfId="0" quotePrefix="1" applyFont="1" applyFill="1" applyBorder="1" applyAlignment="1">
      <alignment horizontal="right" vertical="center" wrapText="1"/>
    </xf>
    <xf numFmtId="0" fontId="5" fillId="14" borderId="6" xfId="0" applyFont="1" applyFill="1" applyBorder="1" applyAlignment="1">
      <alignment horizontal="right" vertical="center" wrapText="1"/>
    </xf>
    <xf numFmtId="0" fontId="5" fillId="14" borderId="8" xfId="0" applyFont="1" applyFill="1" applyBorder="1" applyAlignment="1">
      <alignment horizontal="right" vertical="center" wrapText="1"/>
    </xf>
    <xf numFmtId="0" fontId="3" fillId="7" borderId="5" xfId="0" applyFont="1" applyFill="1" applyBorder="1" applyAlignment="1">
      <alignment horizontal="right" vertical="center" wrapText="1"/>
    </xf>
    <xf numFmtId="0" fontId="3" fillId="7" borderId="6" xfId="0" applyFont="1" applyFill="1" applyBorder="1" applyAlignment="1">
      <alignment horizontal="right" vertical="center" wrapText="1"/>
    </xf>
    <xf numFmtId="0" fontId="3" fillId="7" borderId="8" xfId="0" applyFont="1" applyFill="1" applyBorder="1" applyAlignment="1">
      <alignment horizontal="right" vertical="center" wrapText="1"/>
    </xf>
    <xf numFmtId="0" fontId="5" fillId="13" borderId="5" xfId="0" quotePrefix="1" applyFont="1" applyFill="1" applyBorder="1" applyAlignment="1">
      <alignment horizontal="right" vertical="center" wrapText="1"/>
    </xf>
    <xf numFmtId="0" fontId="5" fillId="13" borderId="6" xfId="0" quotePrefix="1" applyFont="1" applyFill="1" applyBorder="1" applyAlignment="1">
      <alignment horizontal="right" vertical="center" wrapText="1"/>
    </xf>
    <xf numFmtId="0" fontId="5" fillId="13" borderId="8" xfId="0" applyFont="1" applyFill="1" applyBorder="1" applyAlignment="1">
      <alignment horizontal="right" vertical="center" wrapText="1"/>
    </xf>
    <xf numFmtId="0" fontId="5" fillId="12" borderId="5" xfId="0" applyFont="1" applyFill="1" applyBorder="1" applyAlignment="1">
      <alignment horizontal="right" vertical="center" wrapText="1"/>
    </xf>
    <xf numFmtId="0" fontId="5" fillId="12" borderId="6" xfId="0" applyFont="1" applyFill="1" applyBorder="1" applyAlignment="1">
      <alignment horizontal="right" vertical="center" wrapText="1"/>
    </xf>
    <xf numFmtId="0" fontId="5" fillId="12" borderId="8" xfId="0" applyFont="1" applyFill="1" applyBorder="1" applyAlignment="1">
      <alignment horizontal="right" vertical="center" wrapText="1"/>
    </xf>
    <xf numFmtId="0" fontId="5" fillId="12" borderId="5" xfId="0" quotePrefix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52ABB1C8-8EC7-4C5E-94A2-A8E3F480D0F8}"/>
  </cellStyles>
  <dxfs count="4"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59D6-CD32-480B-89EB-8C55207AAEE8}">
  <sheetPr>
    <pageSetUpPr fitToPage="1"/>
  </sheetPr>
  <dimension ref="A1:AC29"/>
  <sheetViews>
    <sheetView zoomScale="90" zoomScaleNormal="90" workbookViewId="0">
      <pane xSplit="6" ySplit="1" topLeftCell="G2" activePane="bottomRight" state="frozen"/>
      <selection pane="topRight" activeCell="H1" sqref="H1"/>
      <selection pane="bottomLeft" activeCell="A2" sqref="A2"/>
      <selection pane="bottomRight" activeCell="G2" sqref="G2"/>
    </sheetView>
  </sheetViews>
  <sheetFormatPr defaultColWidth="9.15234375" defaultRowHeight="14.6" x14ac:dyDescent="0.4"/>
  <cols>
    <col min="1" max="1" width="5.84375" style="27" customWidth="1"/>
    <col min="2" max="2" width="7.69140625" style="27" customWidth="1"/>
    <col min="3" max="3" width="13.3828125" style="27" bestFit="1" customWidth="1"/>
    <col min="4" max="4" width="10.69140625" style="27" customWidth="1"/>
    <col min="5" max="5" width="2.69140625" style="31" hidden="1" customWidth="1"/>
    <col min="6" max="6" width="20.69140625" style="31" customWidth="1"/>
    <col min="7" max="7" width="4.69140625" style="27" customWidth="1"/>
    <col min="8" max="8" width="4.69140625" style="31" customWidth="1"/>
    <col min="9" max="9" width="20.69140625" style="31" customWidth="1"/>
    <col min="10" max="10" width="4.69140625" style="31" customWidth="1"/>
    <col min="11" max="11" width="3.69140625" style="31" hidden="1" customWidth="1"/>
    <col min="12" max="12" width="24.69140625" style="27" customWidth="1"/>
    <col min="13" max="13" width="20.61328125" style="27" customWidth="1"/>
    <col min="14" max="14" width="15.69140625" style="27" hidden="1" customWidth="1"/>
    <col min="15" max="15" width="3.69140625" style="31" hidden="1" customWidth="1"/>
    <col min="16" max="16" width="5.69140625" style="31" hidden="1" customWidth="1"/>
    <col min="17" max="17" width="3.69140625" style="31" hidden="1" customWidth="1"/>
    <col min="18" max="18" width="10.69140625" style="27" hidden="1" customWidth="1"/>
    <col min="19" max="20" width="3.69140625" style="27" hidden="1" customWidth="1"/>
    <col min="21" max="21" width="13" style="27" hidden="1" customWidth="1"/>
    <col min="22" max="22" width="25" style="50" hidden="1" customWidth="1"/>
    <col min="23" max="23" width="6.61328125" style="31" customWidth="1"/>
    <col min="24" max="24" width="4.69140625" style="27" customWidth="1"/>
    <col min="25" max="25" width="18.69140625" style="31" customWidth="1"/>
    <col min="26" max="26" width="18.69140625" style="42" customWidth="1"/>
    <col min="27" max="27" width="24.69140625" style="42" customWidth="1"/>
    <col min="28" max="28" width="5.23046875" style="42" bestFit="1" customWidth="1"/>
    <col min="29" max="16384" width="9.15234375" style="42"/>
  </cols>
  <sheetData>
    <row r="1" spans="1:29" s="35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1"/>
      <c r="F1" s="80" t="s">
        <v>4</v>
      </c>
      <c r="G1" s="80"/>
      <c r="H1" s="80"/>
      <c r="I1" s="80"/>
      <c r="J1" s="80"/>
      <c r="K1" s="11"/>
      <c r="L1" s="1" t="s">
        <v>62</v>
      </c>
      <c r="M1" s="1" t="s">
        <v>63</v>
      </c>
      <c r="N1" s="1" t="s">
        <v>64</v>
      </c>
      <c r="O1" s="37"/>
      <c r="P1" s="1" t="s">
        <v>5</v>
      </c>
      <c r="Q1" s="37"/>
      <c r="R1" s="80" t="s">
        <v>6</v>
      </c>
      <c r="S1" s="80"/>
      <c r="T1" s="80"/>
      <c r="U1" s="80"/>
      <c r="V1" s="46" t="s">
        <v>71</v>
      </c>
      <c r="W1" s="31"/>
      <c r="X1" s="15" t="s">
        <v>7</v>
      </c>
      <c r="Y1" s="15" t="s">
        <v>8</v>
      </c>
      <c r="Z1" s="15" t="s">
        <v>41</v>
      </c>
      <c r="AA1" s="15" t="s">
        <v>38</v>
      </c>
      <c r="AB1" s="15" t="s">
        <v>65</v>
      </c>
      <c r="AC1" s="31"/>
    </row>
    <row r="2" spans="1:29" ht="25.75" x14ac:dyDescent="0.4">
      <c r="A2" s="4">
        <v>1</v>
      </c>
      <c r="B2" s="5">
        <f>+C2</f>
        <v>46186</v>
      </c>
      <c r="C2" s="6">
        <v>46186</v>
      </c>
      <c r="D2" s="7">
        <v>0.5</v>
      </c>
      <c r="E2" s="39"/>
      <c r="F2" s="8" t="str">
        <f>+R2</f>
        <v>DSBP</v>
      </c>
      <c r="G2" s="9"/>
      <c r="H2" s="9" t="s">
        <v>9</v>
      </c>
      <c r="I2" s="8" t="str">
        <f>+U2</f>
        <v>Lower Perk</v>
      </c>
      <c r="J2" s="9"/>
      <c r="K2" s="11"/>
      <c r="L2" s="9" t="s">
        <v>56</v>
      </c>
      <c r="M2" s="56" t="s">
        <v>73</v>
      </c>
      <c r="N2" s="9"/>
      <c r="O2" s="11"/>
      <c r="P2" s="9">
        <f>+G2+J2</f>
        <v>0</v>
      </c>
      <c r="Q2" s="11"/>
      <c r="R2" s="9" t="str">
        <f>+Y2</f>
        <v>DSBP</v>
      </c>
      <c r="S2" s="9"/>
      <c r="T2" s="9"/>
      <c r="U2" s="9" t="str">
        <f>+Y3</f>
        <v>Lower Perk</v>
      </c>
      <c r="V2" s="47"/>
      <c r="W2" s="36"/>
      <c r="X2" s="9">
        <v>1</v>
      </c>
      <c r="Y2" s="40" t="str">
        <f>VLOOKUP($X2,'D27'!$L$17:$Q$23,2,FALSE)</f>
        <v>DSBP</v>
      </c>
      <c r="Z2" s="40" t="str">
        <f>VLOOKUP($X2,'D27'!$L$17:$Q$23,3,FALSE)</f>
        <v>DSBP-D27-SB12</v>
      </c>
      <c r="AA2" s="40" t="str">
        <f>VLOOKUP($X2,'D27'!$L$17:$Q$23,6,FALSE)</f>
        <v>BP-Field of Dreams</v>
      </c>
      <c r="AB2" s="9">
        <f t="shared" ref="AB2:AB7" si="0">IF(AA2="","",COUNTIF($L$2:$L$26,$AA2))</f>
        <v>2</v>
      </c>
    </row>
    <row r="3" spans="1:29" ht="25.75" x14ac:dyDescent="0.4">
      <c r="A3" s="4">
        <v>2</v>
      </c>
      <c r="B3" s="5">
        <f t="shared" ref="B3:B12" si="1">+C3</f>
        <v>46186</v>
      </c>
      <c r="C3" s="6">
        <v>46186</v>
      </c>
      <c r="D3" s="7">
        <v>0.41666666666666669</v>
      </c>
      <c r="E3" s="39"/>
      <c r="F3" s="8" t="str">
        <f>+R3</f>
        <v>Exton</v>
      </c>
      <c r="G3" s="9"/>
      <c r="H3" s="9" t="s">
        <v>9</v>
      </c>
      <c r="I3" s="8" t="str">
        <f>+U3</f>
        <v>Radnor/Wayne</v>
      </c>
      <c r="J3" s="9"/>
      <c r="K3" s="11"/>
      <c r="L3" s="9" t="s">
        <v>56</v>
      </c>
      <c r="M3" s="56" t="s">
        <v>73</v>
      </c>
      <c r="N3" s="9"/>
      <c r="O3" s="11"/>
      <c r="P3" s="9">
        <f>+G3+J3</f>
        <v>0</v>
      </c>
      <c r="Q3" s="11"/>
      <c r="R3" s="9" t="str">
        <f>+Y4</f>
        <v>Exton</v>
      </c>
      <c r="S3" s="9"/>
      <c r="T3" s="9"/>
      <c r="U3" s="9" t="str">
        <f>+Y5</f>
        <v>Radnor/Wayne</v>
      </c>
      <c r="V3" s="47"/>
      <c r="W3" s="36"/>
      <c r="X3" s="9">
        <v>2</v>
      </c>
      <c r="Y3" s="40" t="str">
        <f>VLOOKUP($X3,'D27'!$L$17:$Q$23,2,FALSE)</f>
        <v>Lower Perk</v>
      </c>
      <c r="Z3" s="40" t="str">
        <f>VLOOKUP($X3,'D27'!$L$17:$Q$23,3,FALSE)</f>
        <v>LP-D27-SB12</v>
      </c>
      <c r="AA3" s="40" t="str">
        <f>VLOOKUP($X3,'D27'!$L$17:$Q$23,6,FALSE)</f>
        <v>LP-Palmer Park</v>
      </c>
      <c r="AB3" s="9">
        <f t="shared" si="0"/>
        <v>2</v>
      </c>
    </row>
    <row r="4" spans="1:29" x14ac:dyDescent="0.4">
      <c r="A4" s="4" t="s">
        <v>10</v>
      </c>
      <c r="B4" s="5"/>
      <c r="C4" s="6"/>
      <c r="D4" s="7"/>
      <c r="E4" s="39"/>
      <c r="F4" s="11"/>
      <c r="G4" s="9"/>
      <c r="H4" s="9"/>
      <c r="I4" s="11"/>
      <c r="J4" s="9"/>
      <c r="K4" s="11"/>
      <c r="L4" s="9"/>
      <c r="M4" s="9"/>
      <c r="N4" s="9"/>
      <c r="O4" s="11"/>
      <c r="P4" s="9"/>
      <c r="Q4" s="11"/>
      <c r="R4" s="9"/>
      <c r="S4" s="9"/>
      <c r="T4" s="9"/>
      <c r="U4" s="9"/>
      <c r="V4" s="47"/>
      <c r="W4" s="36"/>
      <c r="X4" s="9">
        <v>3</v>
      </c>
      <c r="Y4" s="40" t="str">
        <f>VLOOKUP($X4,'D27'!$L$17:$Q$23,2,FALSE)</f>
        <v>Exton</v>
      </c>
      <c r="Z4" s="40" t="str">
        <f>VLOOKUP($X4,'D27'!$L$17:$Q$23,3,FALSE)</f>
        <v>EX-D27-SB12</v>
      </c>
      <c r="AA4" s="40" t="str">
        <f>VLOOKUP($X4,'D27'!$L$17:$Q$23,6,FALSE)</f>
        <v>EX-Manor Park</v>
      </c>
      <c r="AB4" s="9">
        <f t="shared" si="0"/>
        <v>2</v>
      </c>
    </row>
    <row r="5" spans="1:29" ht="25.75" x14ac:dyDescent="0.4">
      <c r="A5" s="4">
        <v>3</v>
      </c>
      <c r="B5" s="5">
        <f t="shared" si="1"/>
        <v>46189</v>
      </c>
      <c r="C5" s="6">
        <v>46189</v>
      </c>
      <c r="D5" s="7">
        <v>0.75</v>
      </c>
      <c r="E5" s="39"/>
      <c r="F5" s="8" t="str">
        <f>+R5</f>
        <v>Chester Valley</v>
      </c>
      <c r="G5" s="9"/>
      <c r="H5" s="9" t="s">
        <v>9</v>
      </c>
      <c r="I5" s="11" t="str" cm="1">
        <f t="array" aca="1" ref="I5" ca="1">IF((INDIRECT("SCHEDULE!P"&amp;T5))&gt;0,(IF((INDIRECT("SCHEDULE!G"&amp;T5))&gt;(INDIRECT("SCHEDULE!J"&amp;T5)),(INDIRECT("SCHEDULE!F"&amp;T5)),(INDIRECT("SCHEDULE!I"&amp;T5)))),U5)</f>
        <v>WG-1</v>
      </c>
      <c r="J5" s="9"/>
      <c r="K5" s="11"/>
      <c r="L5" s="9" t="s">
        <v>55</v>
      </c>
      <c r="M5" s="56" t="s">
        <v>73</v>
      </c>
      <c r="N5" s="9"/>
      <c r="O5" s="11"/>
      <c r="P5" s="9">
        <f>+G5+J5</f>
        <v>0</v>
      </c>
      <c r="Q5" s="11"/>
      <c r="R5" s="9" t="str">
        <f>+Y6</f>
        <v>Chester Valley</v>
      </c>
      <c r="S5" s="9"/>
      <c r="T5" s="9">
        <v>2</v>
      </c>
      <c r="U5" s="9" t="s">
        <v>11</v>
      </c>
      <c r="V5" s="47"/>
      <c r="W5" s="36"/>
      <c r="X5" s="9">
        <v>4</v>
      </c>
      <c r="Y5" s="40" t="str">
        <f>VLOOKUP($X5,'D27'!$L$17:$Q$23,2,FALSE)</f>
        <v>Radnor/Wayne</v>
      </c>
      <c r="Z5" s="40" t="str">
        <f>VLOOKUP($X5,'D27'!$L$17:$Q$23,3,FALSE)</f>
        <v>RW-D27-SB12</v>
      </c>
      <c r="AA5" s="40" t="str">
        <f>VLOOKUP($X5,'D27'!$L$17:$Q$23,6,FALSE)</f>
        <v>R/W-Tunnell Park</v>
      </c>
      <c r="AB5" s="9">
        <f t="shared" si="0"/>
        <v>2</v>
      </c>
    </row>
    <row r="6" spans="1:29" ht="25.75" x14ac:dyDescent="0.4">
      <c r="A6" s="4">
        <v>4</v>
      </c>
      <c r="B6" s="5">
        <f t="shared" si="1"/>
        <v>46189</v>
      </c>
      <c r="C6" s="6">
        <v>46189</v>
      </c>
      <c r="D6" s="7">
        <v>0.75</v>
      </c>
      <c r="E6" s="39"/>
      <c r="F6" s="11" t="str" cm="1">
        <f t="array" aca="1" ref="F6" ca="1">IF((INDIRECT("SCHEDULE!P"&amp;S6))&gt;0,(IF((INDIRECT("SCHEDULE!G"&amp;S6))&gt;(INDIRECT("SCHEDULE!J"&amp;S6)),(INDIRECT("SCHEDULE!F"&amp;S6)),(INDIRECT("SCHEDULE!I"&amp;S6)))),R6)</f>
        <v>WG-2</v>
      </c>
      <c r="G6" s="9"/>
      <c r="H6" s="9" t="s">
        <v>9</v>
      </c>
      <c r="I6" s="8" t="str">
        <f>+U6</f>
        <v>Lower Merion</v>
      </c>
      <c r="J6" s="9"/>
      <c r="K6" s="11"/>
      <c r="L6" s="9" t="s">
        <v>67</v>
      </c>
      <c r="M6" s="56" t="s">
        <v>73</v>
      </c>
      <c r="N6" s="9"/>
      <c r="O6" s="11"/>
      <c r="P6" s="9">
        <f>+G6+J6</f>
        <v>0</v>
      </c>
      <c r="Q6" s="11"/>
      <c r="R6" s="9" t="s">
        <v>12</v>
      </c>
      <c r="S6" s="9">
        <v>3</v>
      </c>
      <c r="T6" s="9"/>
      <c r="U6" s="9" t="str">
        <f>+Y7</f>
        <v>Lower Merion</v>
      </c>
      <c r="V6" s="47"/>
      <c r="W6" s="36"/>
      <c r="X6" s="9">
        <v>5</v>
      </c>
      <c r="Y6" s="40" t="str">
        <f>VLOOKUP($X6,'D27'!$L$17:$Q$23,2,FALSE)</f>
        <v>Chester Valley</v>
      </c>
      <c r="Z6" s="40" t="str">
        <f>VLOOKUP($X6,'D27'!$L$17:$Q$23,3,FALSE)</f>
        <v>CV-D27-SB12</v>
      </c>
      <c r="AA6" s="40" t="str">
        <f>VLOOKUP($X6,'D27'!$L$17:$Q$23,6,FALSE)</f>
        <v>CV-Mill Rd Park</v>
      </c>
      <c r="AB6" s="9">
        <f t="shared" si="0"/>
        <v>2</v>
      </c>
    </row>
    <row r="7" spans="1:29" x14ac:dyDescent="0.4">
      <c r="A7" s="4" t="s">
        <v>10</v>
      </c>
      <c r="B7" s="5"/>
      <c r="C7" s="6"/>
      <c r="D7" s="7"/>
      <c r="E7" s="39"/>
      <c r="F7" s="11"/>
      <c r="G7" s="9"/>
      <c r="H7" s="9"/>
      <c r="I7" s="11"/>
      <c r="J7" s="9"/>
      <c r="K7" s="11"/>
      <c r="L7" s="9"/>
      <c r="M7" s="9"/>
      <c r="N7" s="9"/>
      <c r="O7" s="11"/>
      <c r="P7" s="9"/>
      <c r="Q7" s="11"/>
      <c r="R7" s="9"/>
      <c r="S7" s="9"/>
      <c r="T7" s="9"/>
      <c r="U7" s="9"/>
      <c r="V7" s="47"/>
      <c r="W7" s="36"/>
      <c r="X7" s="9">
        <v>6</v>
      </c>
      <c r="Y7" s="40" t="str">
        <f>VLOOKUP($X7,'D27'!$L$17:$Q$23,2,FALSE)</f>
        <v>Lower Merion</v>
      </c>
      <c r="Z7" s="40" t="str">
        <f>VLOOKUP($X7,'D27'!$L$17:$Q$23,3,FALSE)</f>
        <v>LM-D27-SB12</v>
      </c>
      <c r="AA7" s="40" t="str">
        <f>VLOOKUP($X7,'D27'!$L$17:$Q$23,6,FALSE)</f>
        <v>LM-S. Ardmore Park</v>
      </c>
      <c r="AB7" s="9">
        <f t="shared" si="0"/>
        <v>1</v>
      </c>
    </row>
    <row r="8" spans="1:29" ht="25.75" x14ac:dyDescent="0.4">
      <c r="A8" s="4">
        <v>5</v>
      </c>
      <c r="B8" s="5">
        <f t="shared" si="1"/>
        <v>46191</v>
      </c>
      <c r="C8" s="6">
        <v>46191</v>
      </c>
      <c r="D8" s="7">
        <v>0.75</v>
      </c>
      <c r="E8" s="39"/>
      <c r="F8" s="11" t="str" cm="1">
        <f t="array" aca="1" ref="F8" ca="1">IF((INDIRECT("SCHEDULE!P"&amp;S8))&gt;0,(IF((INDIRECT("SCHEDULE!G"&amp;S8))&lt;(INDIRECT("SCHEDULE!J"&amp;S8)),(INDIRECT("SCHEDULE!F"&amp;S8)),(INDIRECT("SCHEDULE!I"&amp;S8)))),R8)</f>
        <v>LG-1</v>
      </c>
      <c r="G8" s="9"/>
      <c r="H8" s="9" t="s">
        <v>9</v>
      </c>
      <c r="I8" s="11" t="str" cm="1">
        <f t="array" aca="1" ref="I8" ca="1">IF((INDIRECT("SCHEDULE!P"&amp;T8))&gt;0,(IF((INDIRECT("SCHEDULE!G"&amp;T8))&lt;(INDIRECT("SCHEDULE!J"&amp;T8)),(INDIRECT("SCHEDULE!F"&amp;T8)),(INDIRECT("SCHEDULE!I"&amp;T8)))),U8)</f>
        <v>LG-4</v>
      </c>
      <c r="J8" s="9"/>
      <c r="K8" s="11"/>
      <c r="L8" s="9" t="s">
        <v>57</v>
      </c>
      <c r="M8" s="56" t="s">
        <v>73</v>
      </c>
      <c r="N8" s="9"/>
      <c r="O8" s="11"/>
      <c r="P8" s="9">
        <f>+G8+J8</f>
        <v>0</v>
      </c>
      <c r="Q8" s="11"/>
      <c r="R8" s="9" t="s">
        <v>16</v>
      </c>
      <c r="S8" s="9">
        <v>2</v>
      </c>
      <c r="T8" s="9">
        <v>6</v>
      </c>
      <c r="U8" s="9" t="s">
        <v>18</v>
      </c>
      <c r="V8" s="47"/>
      <c r="W8" s="36"/>
      <c r="X8" s="9"/>
      <c r="Y8" s="11"/>
      <c r="Z8" s="11"/>
      <c r="AA8" s="11"/>
      <c r="AB8" s="41"/>
    </row>
    <row r="9" spans="1:29" ht="25.75" x14ac:dyDescent="0.4">
      <c r="A9" s="4">
        <v>6</v>
      </c>
      <c r="B9" s="5">
        <f t="shared" si="1"/>
        <v>46191</v>
      </c>
      <c r="C9" s="6">
        <v>46191</v>
      </c>
      <c r="D9" s="7">
        <v>0.75</v>
      </c>
      <c r="E9" s="39"/>
      <c r="F9" s="11" t="str" cm="1">
        <f t="array" aca="1" ref="F9" ca="1">IF((INDIRECT("SCHEDULE!P"&amp;S9))&gt;0,(IF((INDIRECT("SCHEDULE!G"&amp;S9))&lt;(INDIRECT("SCHEDULE!J"&amp;S9)),(INDIRECT("SCHEDULE!F"&amp;S9)),(INDIRECT("SCHEDULE!I"&amp;S9)))),R9)</f>
        <v>LG-2</v>
      </c>
      <c r="G9" s="9"/>
      <c r="H9" s="9" t="s">
        <v>9</v>
      </c>
      <c r="I9" s="11" t="str" cm="1">
        <f t="array" aca="1" ref="I9" ca="1">IF((INDIRECT("SCHEDULE!P"&amp;T9))&gt;0,(IF((INDIRECT("SCHEDULE!G"&amp;T9))&lt;(INDIRECT("SCHEDULE!J"&amp;T9)),(INDIRECT("SCHEDULE!F"&amp;T9)),(INDIRECT("SCHEDULE!I"&amp;T9)))),U9)</f>
        <v>LG-3</v>
      </c>
      <c r="J9" s="9"/>
      <c r="K9" s="11"/>
      <c r="L9" s="9" t="s">
        <v>55</v>
      </c>
      <c r="M9" s="56" t="s">
        <v>73</v>
      </c>
      <c r="N9" s="9"/>
      <c r="O9" s="11"/>
      <c r="P9" s="9">
        <f>+G9+J9</f>
        <v>0</v>
      </c>
      <c r="Q9" s="11"/>
      <c r="R9" s="9" t="s">
        <v>14</v>
      </c>
      <c r="S9" s="9">
        <v>3</v>
      </c>
      <c r="T9" s="9">
        <v>5</v>
      </c>
      <c r="U9" s="9" t="s">
        <v>15</v>
      </c>
      <c r="V9" s="47"/>
      <c r="W9" s="36"/>
      <c r="X9" s="9"/>
      <c r="Y9" s="11"/>
      <c r="Z9" s="11"/>
      <c r="AA9" s="11"/>
      <c r="AB9" s="41"/>
    </row>
    <row r="10" spans="1:29" x14ac:dyDescent="0.4">
      <c r="A10" s="4"/>
      <c r="B10" s="5"/>
      <c r="C10" s="6"/>
      <c r="D10" s="7"/>
      <c r="E10" s="39"/>
      <c r="F10" s="11"/>
      <c r="G10" s="9"/>
      <c r="H10" s="9"/>
      <c r="I10" s="11"/>
      <c r="J10" s="9"/>
      <c r="K10" s="11"/>
      <c r="L10" s="9"/>
      <c r="M10" s="9"/>
      <c r="N10" s="9"/>
      <c r="O10" s="11"/>
      <c r="P10" s="9"/>
      <c r="Q10" s="11"/>
      <c r="R10" s="9"/>
      <c r="S10" s="9"/>
      <c r="T10" s="9"/>
      <c r="U10" s="9"/>
      <c r="V10" s="47"/>
      <c r="W10" s="36"/>
      <c r="X10" s="9"/>
      <c r="Y10" s="23"/>
      <c r="Z10" s="23"/>
      <c r="AA10" s="23"/>
      <c r="AB10" s="9" t="str">
        <f>IF(AA10="","",COUNTIF(#REF!,$AA10))</f>
        <v/>
      </c>
    </row>
    <row r="11" spans="1:29" ht="25.75" x14ac:dyDescent="0.4">
      <c r="A11" s="4">
        <v>7</v>
      </c>
      <c r="B11" s="5">
        <f t="shared" si="1"/>
        <v>46193</v>
      </c>
      <c r="C11" s="6">
        <v>46193</v>
      </c>
      <c r="D11" s="7">
        <v>0.375</v>
      </c>
      <c r="E11" s="39"/>
      <c r="F11" s="11" t="str" cm="1">
        <f t="array" aca="1" ref="F11" ca="1">IF((INDIRECT("SCHEDULE!P"&amp;S11))&gt;0,(IF((INDIRECT("SCHEDULE!G"&amp;S11))&gt;(INDIRECT("SCHEDULE!J"&amp;S11)),(INDIRECT("SCHEDULE!F"&amp;S11)),(INDIRECT("SCHEDULE!I"&amp;S11)))),R11)</f>
        <v>WG-3</v>
      </c>
      <c r="G11" s="9"/>
      <c r="H11" s="9" t="s">
        <v>9</v>
      </c>
      <c r="I11" s="11" t="str" cm="1">
        <f t="array" aca="1" ref="I11" ca="1">IF((INDIRECT("SCHEDULE!P"&amp;T11))&gt;0,(IF((INDIRECT("SCHEDULE!G"&amp;T11))&gt;(INDIRECT("SCHEDULE!J"&amp;T11)),(INDIRECT("SCHEDULE!F"&amp;T11)),(INDIRECT("SCHEDULE!I"&amp;T11)))),U11)</f>
        <v>WG-4</v>
      </c>
      <c r="J11" s="9"/>
      <c r="K11" s="11"/>
      <c r="L11" s="9" t="s">
        <v>49</v>
      </c>
      <c r="M11" s="56" t="s">
        <v>73</v>
      </c>
      <c r="N11" s="9"/>
      <c r="O11" s="11"/>
      <c r="P11" s="9">
        <f t="shared" ref="P11:P12" si="2">+G11+J11</f>
        <v>0</v>
      </c>
      <c r="Q11" s="11"/>
      <c r="R11" s="9" t="s">
        <v>13</v>
      </c>
      <c r="S11" s="9">
        <v>5</v>
      </c>
      <c r="T11" s="9">
        <v>6</v>
      </c>
      <c r="U11" s="9" t="s">
        <v>19</v>
      </c>
      <c r="V11" s="47"/>
      <c r="W11" s="36"/>
      <c r="X11" s="9"/>
      <c r="Y11" s="23"/>
      <c r="Z11" s="23"/>
      <c r="AA11" s="23"/>
      <c r="AB11" s="9"/>
    </row>
    <row r="12" spans="1:29" ht="25.75" x14ac:dyDescent="0.4">
      <c r="A12" s="4">
        <v>8</v>
      </c>
      <c r="B12" s="5">
        <f t="shared" si="1"/>
        <v>46193</v>
      </c>
      <c r="C12" s="6">
        <v>46193</v>
      </c>
      <c r="D12" s="7">
        <v>0.45833333333333331</v>
      </c>
      <c r="E12" s="39"/>
      <c r="F12" s="11" t="str" cm="1">
        <f t="array" aca="1" ref="F12" ca="1">IF((INDIRECT("SCHEDULE!P"&amp;S12))&gt;0,(IF((INDIRECT("SCHEDULE!G"&amp;S12))&gt;(INDIRECT("SCHEDULE!J"&amp;S12)),(INDIRECT("SCHEDULE!F"&amp;S12)),(INDIRECT("SCHEDULE!I"&amp;S12)))),R12)</f>
        <v>WG-5</v>
      </c>
      <c r="G12" s="9"/>
      <c r="H12" s="9" t="s">
        <v>9</v>
      </c>
      <c r="I12" s="11" t="str" cm="1">
        <f t="array" aca="1" ref="I12" ca="1">IF((INDIRECT("SCHEDULE!P"&amp;T12))&gt;0,(IF((INDIRECT("SCHEDULE!G"&amp;T12))&gt;(INDIRECT("SCHEDULE!J"&amp;T12)),(INDIRECT("SCHEDULE!F"&amp;T12)),(INDIRECT("SCHEDULE!I"&amp;T12)))),U12)</f>
        <v>WG-6</v>
      </c>
      <c r="J12" s="9"/>
      <c r="K12" s="11"/>
      <c r="L12" s="9" t="s">
        <v>49</v>
      </c>
      <c r="M12" s="56" t="s">
        <v>73</v>
      </c>
      <c r="N12" s="9"/>
      <c r="O12" s="11"/>
      <c r="P12" s="9">
        <f t="shared" si="2"/>
        <v>0</v>
      </c>
      <c r="Q12" s="11"/>
      <c r="R12" s="9" t="s">
        <v>20</v>
      </c>
      <c r="S12" s="9">
        <v>8</v>
      </c>
      <c r="T12" s="9">
        <v>9</v>
      </c>
      <c r="U12" s="9" t="s">
        <v>17</v>
      </c>
      <c r="V12" s="47"/>
      <c r="W12" s="36"/>
      <c r="X12" s="26"/>
      <c r="Y12" s="38" t="s">
        <v>66</v>
      </c>
      <c r="Z12" s="38"/>
      <c r="AA12" s="38"/>
      <c r="AB12" s="26">
        <f>SUM(AB2:AB10)</f>
        <v>11</v>
      </c>
    </row>
    <row r="13" spans="1:29" x14ac:dyDescent="0.4">
      <c r="A13" s="4" t="s">
        <v>10</v>
      </c>
      <c r="B13" s="5"/>
      <c r="C13" s="6"/>
      <c r="D13" s="7"/>
      <c r="E13" s="39"/>
      <c r="G13" s="9"/>
      <c r="H13" s="9"/>
      <c r="J13" s="9"/>
      <c r="K13" s="11"/>
      <c r="L13" s="9"/>
      <c r="M13" s="9"/>
      <c r="N13" s="9"/>
      <c r="O13" s="11"/>
      <c r="P13" s="9"/>
      <c r="Q13" s="11"/>
      <c r="R13" s="9"/>
      <c r="S13" s="9"/>
      <c r="T13" s="9"/>
      <c r="U13" s="9"/>
      <c r="V13" s="47"/>
      <c r="W13" s="36"/>
    </row>
    <row r="14" spans="1:29" ht="25.75" x14ac:dyDescent="0.4">
      <c r="A14" s="4">
        <v>9</v>
      </c>
      <c r="B14" s="5">
        <f>+C14</f>
        <v>46195</v>
      </c>
      <c r="C14" s="6">
        <v>46195</v>
      </c>
      <c r="D14" s="7">
        <v>0.75</v>
      </c>
      <c r="E14" s="39"/>
      <c r="F14" s="11" t="str" cm="1">
        <f t="array" aca="1" ref="F14" ca="1">IF((INDIRECT("SCHEDULE!P"&amp;S14))&gt;0,(IF((INDIRECT("SCHEDULE!G"&amp;S14))&gt;(INDIRECT("SCHEDULE!J"&amp;S14)),(INDIRECT("SCHEDULE!F"&amp;S14)),(INDIRECT("SCHEDULE!I"&amp;S14)))),R14)</f>
        <v>WG-8</v>
      </c>
      <c r="G14" s="9"/>
      <c r="H14" s="9" t="s">
        <v>9</v>
      </c>
      <c r="I14" s="11" t="str" cm="1">
        <f t="array" aca="1" ref="I14" ca="1">IF((INDIRECT("SCHEDULE!P"&amp;T14))&gt;0,(IF((INDIRECT("SCHEDULE!G"&amp;T14))&lt;(INDIRECT("SCHEDULE!J"&amp;T14)),(INDIRECT("SCHEDULE!F"&amp;T14)),(INDIRECT("SCHEDULE!I"&amp;T14)))),U14)</f>
        <v>LG-7</v>
      </c>
      <c r="J14" s="9"/>
      <c r="K14" s="11"/>
      <c r="L14" s="9" t="s">
        <v>57</v>
      </c>
      <c r="M14" s="56" t="s">
        <v>73</v>
      </c>
      <c r="N14" s="9"/>
      <c r="O14" s="11"/>
      <c r="P14" s="9">
        <f>+G14+J14</f>
        <v>0</v>
      </c>
      <c r="Q14" s="11"/>
      <c r="R14" s="9" t="s">
        <v>21</v>
      </c>
      <c r="S14" s="9">
        <v>12</v>
      </c>
      <c r="T14" s="9">
        <v>11</v>
      </c>
      <c r="U14" s="9" t="s">
        <v>72</v>
      </c>
      <c r="V14" s="47"/>
      <c r="W14" s="36"/>
    </row>
    <row r="15" spans="1:29" x14ac:dyDescent="0.4">
      <c r="A15" s="4"/>
      <c r="B15" s="5"/>
      <c r="C15" s="6"/>
      <c r="D15" s="7"/>
      <c r="E15" s="39"/>
      <c r="F15" s="11"/>
      <c r="G15" s="9"/>
      <c r="H15" s="9"/>
      <c r="I15" s="11"/>
      <c r="J15" s="9"/>
      <c r="K15" s="11"/>
      <c r="L15" s="9"/>
      <c r="M15" s="9"/>
      <c r="N15" s="9"/>
      <c r="O15" s="11"/>
      <c r="P15" s="9"/>
      <c r="Q15" s="11"/>
      <c r="R15" s="9"/>
      <c r="S15" s="9"/>
      <c r="T15" s="9"/>
      <c r="U15" s="9"/>
      <c r="V15" s="47"/>
      <c r="W15" s="36"/>
    </row>
    <row r="16" spans="1:29" ht="25.75" x14ac:dyDescent="0.4">
      <c r="A16" s="4">
        <v>10</v>
      </c>
      <c r="B16" s="12">
        <f t="shared" ref="B16" si="3">+C16</f>
        <v>46197</v>
      </c>
      <c r="C16" s="13">
        <v>46197</v>
      </c>
      <c r="D16" s="14">
        <v>0.75</v>
      </c>
      <c r="E16" s="39"/>
      <c r="F16" s="11" t="str" cm="1">
        <f t="array" aca="1" ref="F16" ca="1">IF((INDIRECT("SCHEDULE!P"&amp;S16))&gt;0,(IF((INDIRECT("SCHEDULE!G"&amp;S16))&gt;(INDIRECT("SCHEDULE!J"&amp;S16)),(INDIRECT("SCHEDULE!F"&amp;S16)),(INDIRECT("SCHEDULE!I"&amp;S16)))),R16)</f>
        <v>WG-8</v>
      </c>
      <c r="G16" s="9"/>
      <c r="H16" s="9" t="s">
        <v>9</v>
      </c>
      <c r="I16" s="11" t="str" cm="1">
        <f t="array" aca="1" ref="I16" ca="1">IF((INDIRECT("SCHEDULE!P"&amp;T16))&gt;0,(IF((INDIRECT("SCHEDULE!G"&amp;T16))&gt;(INDIRECT("SCHEDULE!J"&amp;T16)),(INDIRECT("SCHEDULE!F"&amp;T16)),(INDIRECT("SCHEDULE!I"&amp;T16)))),U16)</f>
        <v>WG-9</v>
      </c>
      <c r="J16" s="9"/>
      <c r="K16" s="11"/>
      <c r="L16" s="85" t="s">
        <v>42</v>
      </c>
      <c r="M16" s="56" t="s">
        <v>73</v>
      </c>
      <c r="N16" s="9"/>
      <c r="O16" s="11"/>
      <c r="P16" s="9">
        <f>+G16+J16</f>
        <v>0</v>
      </c>
      <c r="Q16" s="11"/>
      <c r="R16" s="9" t="s">
        <v>21</v>
      </c>
      <c r="S16" s="9">
        <v>12</v>
      </c>
      <c r="T16" s="9">
        <v>14</v>
      </c>
      <c r="U16" s="9" t="s">
        <v>23</v>
      </c>
      <c r="V16" s="47"/>
      <c r="W16" s="36"/>
    </row>
    <row r="17" spans="1:29" x14ac:dyDescent="0.4">
      <c r="A17" s="4"/>
      <c r="B17" s="5"/>
      <c r="C17" s="6"/>
      <c r="D17" s="7"/>
      <c r="E17" s="39"/>
      <c r="F17" s="11"/>
      <c r="G17" s="9"/>
      <c r="H17" s="9"/>
      <c r="I17" s="11"/>
      <c r="J17" s="9"/>
      <c r="K17" s="11"/>
      <c r="L17" s="9"/>
      <c r="M17" s="9"/>
      <c r="N17" s="9"/>
      <c r="O17" s="11"/>
      <c r="P17" s="9"/>
      <c r="Q17" s="11"/>
      <c r="R17" s="9"/>
      <c r="S17" s="9"/>
      <c r="T17" s="9"/>
      <c r="U17" s="9"/>
      <c r="V17" s="47"/>
      <c r="W17" s="36"/>
    </row>
    <row r="18" spans="1:29" ht="25.75" x14ac:dyDescent="0.4">
      <c r="A18" s="4">
        <v>11</v>
      </c>
      <c r="B18" s="12">
        <f t="shared" ref="B18" si="4">+C18</f>
        <v>46198</v>
      </c>
      <c r="C18" s="13">
        <v>46198</v>
      </c>
      <c r="D18" s="14">
        <v>0.75</v>
      </c>
      <c r="E18" s="39"/>
      <c r="F18" s="11" t="str" cm="1">
        <f t="array" aca="1" ref="F18" ca="1">IF((INDIRECT("SCHEDULE!P"&amp;S18))&gt;0,(IF((INDIRECT("SCHEDULE!G"&amp;S18))&gt;(INDIRECT("SCHEDULE!J"&amp;S18)),(INDIRECT("SCHEDULE!F"&amp;S18)),(INDIRECT("SCHEDULE!I"&amp;S18)))),R18)</f>
        <v>WG-10</v>
      </c>
      <c r="G18" s="9"/>
      <c r="H18" s="9" t="s">
        <v>9</v>
      </c>
      <c r="I18" s="11" t="str" cm="1">
        <f t="array" aca="1" ref="I18" ca="1">IF((INDIRECT("SCHEDULE!P"&amp;T18))&gt;0,(IF((INDIRECT("SCHEDULE!G"&amp;T18))&lt;(INDIRECT("SCHEDULE!J"&amp;T18)),(INDIRECT("SCHEDULE!F"&amp;T18)),"Not Necessary")),U18)</f>
        <v>If Necessary</v>
      </c>
      <c r="J18" s="9"/>
      <c r="K18" s="11"/>
      <c r="L18" s="85" t="s">
        <v>42</v>
      </c>
      <c r="M18" s="56" t="s">
        <v>73</v>
      </c>
      <c r="N18" s="9"/>
      <c r="O18" s="11"/>
      <c r="P18" s="9">
        <f>+G18+J18</f>
        <v>0</v>
      </c>
      <c r="Q18" s="11"/>
      <c r="R18" s="9" t="s">
        <v>22</v>
      </c>
      <c r="S18" s="9">
        <v>16</v>
      </c>
      <c r="T18" s="9">
        <v>16</v>
      </c>
      <c r="U18" s="9" t="s">
        <v>33</v>
      </c>
      <c r="V18" s="47"/>
      <c r="W18" s="36"/>
    </row>
    <row r="19" spans="1:29" x14ac:dyDescent="0.4">
      <c r="A19" s="4"/>
      <c r="B19" s="5"/>
      <c r="C19" s="43"/>
      <c r="D19" s="7"/>
      <c r="E19" s="39"/>
      <c r="F19" s="34"/>
      <c r="G19" s="9"/>
      <c r="H19" s="9"/>
      <c r="I19" s="34"/>
      <c r="J19" s="9"/>
      <c r="K19" s="11"/>
      <c r="L19" s="9"/>
      <c r="M19" s="9"/>
      <c r="N19" s="9"/>
      <c r="O19" s="11"/>
      <c r="P19" s="11"/>
      <c r="Q19" s="11"/>
      <c r="R19" s="9"/>
      <c r="S19" s="9"/>
      <c r="T19" s="9"/>
      <c r="U19" s="9"/>
      <c r="V19" s="47"/>
      <c r="W19" s="36"/>
    </row>
    <row r="20" spans="1:29" x14ac:dyDescent="0.4">
      <c r="A20" s="81" t="s">
        <v>24</v>
      </c>
      <c r="B20" s="81"/>
      <c r="C20" s="6"/>
      <c r="D20" s="7"/>
      <c r="E20" s="11"/>
      <c r="F20" s="34" t="str" cm="1">
        <f t="array" aca="1" ref="F20" ca="1">IF(INDIRECT("SCHEDULE!P"&amp;S20)&gt;0,IF(INDIRECT("SCHEDULE!G"&amp;S20)&gt;INDIRECT("SCHEDULE!J"&amp;S20),INDIRECT("SCHEDULE!F"&amp;S20),INDIRECT("SCHEDULE!I"&amp;S20)),IF(INDIRECT("SCHEDULE!P"&amp;T20)&gt;0,IF(INDIRECT("SCHEDULE!G"&amp;T20)&gt;INDIRECT("SCHEDULE!J"&amp;T20),INDIRECT("SCHEDULE!F"&amp;T20),R20),R20))</f>
        <v>Champion</v>
      </c>
      <c r="G20" s="9"/>
      <c r="H20" s="9"/>
      <c r="I20" s="34"/>
      <c r="J20" s="9"/>
      <c r="K20" s="11"/>
      <c r="L20" s="9"/>
      <c r="M20" s="9"/>
      <c r="N20" s="9"/>
      <c r="O20" s="34"/>
      <c r="P20" s="9"/>
      <c r="Q20" s="34"/>
      <c r="R20" s="9" t="s">
        <v>24</v>
      </c>
      <c r="S20" s="9">
        <v>18</v>
      </c>
      <c r="T20" s="9">
        <v>16</v>
      </c>
      <c r="U20" s="9"/>
      <c r="V20" s="47"/>
      <c r="W20" s="36"/>
    </row>
    <row r="21" spans="1:29" s="35" customFormat="1" x14ac:dyDescent="0.4">
      <c r="A21" s="27"/>
      <c r="B21" s="27"/>
      <c r="C21" s="27"/>
      <c r="D21" s="27"/>
      <c r="E21" s="31"/>
      <c r="F21" s="31"/>
      <c r="G21" s="27"/>
      <c r="H21" s="31"/>
      <c r="I21" s="31"/>
      <c r="J21" s="31"/>
      <c r="K21" s="31"/>
      <c r="L21" s="27"/>
      <c r="M21" s="27"/>
      <c r="N21" s="27"/>
      <c r="O21" s="31"/>
      <c r="P21" s="31"/>
      <c r="Q21" s="31"/>
      <c r="R21" s="27"/>
      <c r="S21" s="27"/>
      <c r="T21" s="27"/>
      <c r="U21" s="27"/>
      <c r="V21" s="48"/>
      <c r="W21" s="36"/>
      <c r="X21" s="27"/>
      <c r="Y21" s="31"/>
      <c r="Z21" s="31"/>
      <c r="AA21" s="31"/>
      <c r="AB21" s="31"/>
      <c r="AC21" s="31"/>
    </row>
    <row r="22" spans="1:29" x14ac:dyDescent="0.4">
      <c r="V22" s="49"/>
      <c r="W22" s="36"/>
    </row>
    <row r="23" spans="1:29" x14ac:dyDescent="0.4">
      <c r="V23" s="49"/>
      <c r="W23" s="27"/>
    </row>
    <row r="24" spans="1:29" x14ac:dyDescent="0.4">
      <c r="V24" s="49"/>
      <c r="W24" s="27"/>
    </row>
    <row r="25" spans="1:29" x14ac:dyDescent="0.4">
      <c r="V25" s="49"/>
      <c r="W25" s="27"/>
    </row>
    <row r="26" spans="1:29" x14ac:dyDescent="0.4">
      <c r="V26" s="49"/>
      <c r="W26" s="27"/>
    </row>
    <row r="27" spans="1:29" x14ac:dyDescent="0.4">
      <c r="V27" s="49"/>
      <c r="W27" s="27"/>
    </row>
    <row r="28" spans="1:29" x14ac:dyDescent="0.4">
      <c r="V28" s="49"/>
      <c r="W28" s="27"/>
    </row>
    <row r="29" spans="1:29" x14ac:dyDescent="0.4">
      <c r="W29" s="27"/>
    </row>
  </sheetData>
  <mergeCells count="3">
    <mergeCell ref="F1:J1"/>
    <mergeCell ref="R1:U1"/>
    <mergeCell ref="A20:B20"/>
  </mergeCells>
  <conditionalFormatting sqref="G2:G18">
    <cfRule type="expression" dxfId="3" priority="4">
      <formula>G2&gt;J2</formula>
    </cfRule>
  </conditionalFormatting>
  <conditionalFormatting sqref="J2:J18">
    <cfRule type="expression" dxfId="2" priority="1">
      <formula>J2&gt;G2</formula>
    </cfRule>
  </conditionalFormatting>
  <pageMargins left="0.25" right="0.25" top="0.5" bottom="0.5" header="0.25" footer="0.25"/>
  <pageSetup scale="61" orientation="landscape" r:id="rId1"/>
  <headerFooter>
    <oddHeader>&amp;F</oddHeader>
    <oddFooter>&amp;L&amp;A&amp;C&amp;D&amp;RPage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8A85-A846-47E5-A698-463F172CD0CD}">
  <sheetPr>
    <pageSetUpPr fitToPage="1"/>
  </sheetPr>
  <dimension ref="A1:N119"/>
  <sheetViews>
    <sheetView tabSelected="1" workbookViewId="0">
      <selection activeCell="A6" sqref="A6"/>
    </sheetView>
  </sheetViews>
  <sheetFormatPr defaultColWidth="9.15234375" defaultRowHeight="14.6" x14ac:dyDescent="0.4"/>
  <cols>
    <col min="1" max="1" width="20.61328125" style="52" customWidth="1"/>
    <col min="2" max="7" width="20.61328125" style="51" customWidth="1"/>
    <col min="8" max="9" width="12.69140625" style="52" customWidth="1"/>
    <col min="10" max="16384" width="9.15234375" style="52"/>
  </cols>
  <sheetData>
    <row r="1" spans="1:14" ht="13" customHeight="1" x14ac:dyDescent="0.4">
      <c r="A1" s="51"/>
      <c r="H1" s="51"/>
      <c r="I1" s="51"/>
      <c r="J1" s="51"/>
      <c r="K1" s="51"/>
      <c r="L1" s="51"/>
      <c r="M1" s="51"/>
      <c r="N1" s="51"/>
    </row>
    <row r="2" spans="1:14" ht="13" customHeight="1" x14ac:dyDescent="0.4">
      <c r="A2" s="51"/>
      <c r="B2" s="53" t="str">
        <f>IF(SCHEDULE!$P5&gt;0,CONCATENATE(SCHEDULE!$F5," - ", SCHEDULE!$G5), SCHEDULE!$F5)</f>
        <v>Chester Valley</v>
      </c>
      <c r="F2" s="58" t="s">
        <v>68</v>
      </c>
      <c r="G2" s="58"/>
      <c r="H2" s="51"/>
      <c r="K2" s="51"/>
      <c r="L2" s="51"/>
      <c r="M2" s="51"/>
      <c r="N2" s="51"/>
    </row>
    <row r="3" spans="1:14" ht="13" customHeight="1" x14ac:dyDescent="0.4">
      <c r="A3" s="51"/>
      <c r="B3" s="67" t="str">
        <f>_xlfn.CONCAT("(",SCHEDULE!$A5,") - ",TEXT(SCHEDULE!$C5,"DDD M/D")," ",TEXT(SCHEDULE!$D5,"H:MM AM/PM"),"                      (",SCHEDULE!$L5,")")</f>
        <v>(3) - Tue 6/16 6:00 PM                      (CV-Mill Rd Park)</v>
      </c>
      <c r="F3" s="44" t="s">
        <v>69</v>
      </c>
      <c r="G3" s="59" t="s">
        <v>60</v>
      </c>
      <c r="H3" s="51"/>
      <c r="K3" s="51"/>
      <c r="L3" s="51"/>
      <c r="M3" s="51"/>
      <c r="N3" s="51"/>
    </row>
    <row r="4" spans="1:14" ht="13" customHeight="1" x14ac:dyDescent="0.4">
      <c r="A4" s="51"/>
      <c r="B4" s="68"/>
      <c r="D4" s="53" t="str">
        <f ca="1">IF(SCHEDULE!$P11&gt;0,CONCATENATE(SCHEDULE!$F11," - ", SCHEDULE!$G11), SCHEDULE!$F11)</f>
        <v>WG-3</v>
      </c>
      <c r="F4" s="45" t="s">
        <v>70</v>
      </c>
      <c r="G4" s="60"/>
      <c r="H4" s="51"/>
      <c r="K4" s="51"/>
      <c r="L4" s="51"/>
      <c r="M4" s="51"/>
      <c r="N4" s="51"/>
    </row>
    <row r="5" spans="1:14" ht="13" customHeight="1" x14ac:dyDescent="0.4">
      <c r="A5" s="51"/>
      <c r="B5" s="68"/>
      <c r="C5" s="54"/>
      <c r="D5" s="79" t="str">
        <f>_xlfn.CONCAT("(",SCHEDULE!$A11,") - ",TEXT(SCHEDULE!$C11,"DDD M/D")," ",TEXT(SCHEDULE!$D11,"H:MM AM/PM"),"                        (",SCHEDULE!$L11,")")</f>
        <v>(7) - Sat 6/20 9:00 AM                        (LP-Palmer Park)</v>
      </c>
      <c r="H5" s="51"/>
      <c r="I5" s="51"/>
      <c r="J5" s="51"/>
      <c r="K5" s="51"/>
      <c r="L5" s="51"/>
      <c r="M5" s="51"/>
      <c r="N5" s="51"/>
    </row>
    <row r="6" spans="1:14" ht="13" customHeight="1" x14ac:dyDescent="0.4">
      <c r="A6" s="53" t="str">
        <f>IF(SCHEDULE!$P2&gt;0,CONCATENATE(SCHEDULE!$F2," - ", SCHEDULE!$G2), SCHEDULE!$F2)</f>
        <v>DSBP</v>
      </c>
      <c r="B6" s="68"/>
      <c r="D6" s="77"/>
      <c r="H6" s="51"/>
      <c r="I6" s="51"/>
      <c r="J6" s="51"/>
      <c r="K6" s="51"/>
      <c r="L6" s="51"/>
      <c r="M6" s="51"/>
      <c r="N6" s="51"/>
    </row>
    <row r="7" spans="1:14" ht="13" customHeight="1" x14ac:dyDescent="0.4">
      <c r="A7" s="61" t="str">
        <f>_xlfn.CONCAT("(",SCHEDULE!$A2,") - ",TEXT(SCHEDULE!$C2,"DDD M/D")," ",TEXT(SCHEDULE!$D2,"H:MM AM/PM"),"                  (",SCHEDULE!$L2,")")</f>
        <v>(1) - Sat 6/13 12:00 PM                  (EX-Manor Park)</v>
      </c>
      <c r="B7" s="69"/>
      <c r="D7" s="77"/>
      <c r="H7" s="51"/>
      <c r="I7" s="51"/>
      <c r="J7" s="51"/>
      <c r="K7" s="51"/>
      <c r="L7" s="51"/>
      <c r="M7" s="51"/>
      <c r="N7" s="51"/>
    </row>
    <row r="8" spans="1:14" ht="13" customHeight="1" x14ac:dyDescent="0.4">
      <c r="A8" s="62"/>
      <c r="B8" s="53" t="str">
        <f ca="1">IF(SCHEDULE!$P5&gt;0,CONCATENATE(SCHEDULE!$I5," - ", SCHEDULE!$J5), SCHEDULE!$I5)</f>
        <v>WG-1</v>
      </c>
      <c r="D8" s="77"/>
      <c r="H8" s="51"/>
      <c r="I8" s="51"/>
      <c r="J8" s="51"/>
      <c r="K8" s="51"/>
      <c r="L8" s="51"/>
      <c r="M8" s="51"/>
      <c r="N8" s="51"/>
    </row>
    <row r="9" spans="1:14" ht="13" customHeight="1" x14ac:dyDescent="0.4">
      <c r="A9" s="63"/>
      <c r="B9" s="52"/>
      <c r="D9" s="77"/>
      <c r="H9" s="51"/>
      <c r="I9" s="51"/>
      <c r="J9" s="51"/>
      <c r="K9" s="51"/>
      <c r="L9" s="51"/>
      <c r="M9" s="51"/>
      <c r="N9" s="51"/>
    </row>
    <row r="10" spans="1:14" ht="13" customHeight="1" x14ac:dyDescent="0.4">
      <c r="A10" s="53" t="str">
        <f>IF(SCHEDULE!$P2&gt;0,CONCATENATE(SCHEDULE!$I2," - ", SCHEDULE!$J2), SCHEDULE!$I2)</f>
        <v>Lower Perk</v>
      </c>
      <c r="D10" s="77"/>
      <c r="E10" s="53" t="str">
        <f ca="1">IF(SCHEDULE!$P16&gt;0,CONCATENATE(SCHEDULE!$F16," - ", SCHEDULE!$G16), SCHEDULE!$F16)</f>
        <v>WG-8</v>
      </c>
      <c r="H10" s="51"/>
      <c r="I10" s="51"/>
      <c r="J10" s="51"/>
      <c r="K10" s="51"/>
      <c r="L10" s="51"/>
      <c r="M10" s="51"/>
      <c r="N10" s="51"/>
    </row>
    <row r="11" spans="1:14" ht="13" customHeight="1" x14ac:dyDescent="0.4">
      <c r="A11" s="51"/>
      <c r="D11" s="77"/>
      <c r="E11" s="64" t="str">
        <f>_xlfn.CONCAT("(",SCHEDULE!$A16,") - ",TEXT(SCHEDULE!$C16,"DDD M/D")," ",TEXT(SCHEDULE!$D16,"H:MM AM/PM"),"                    (",SCHEDULE!$L16,")")</f>
        <v>(10) - Wed 6/24 6:00 PM                    (BP-Field of Dreams)</v>
      </c>
      <c r="H11" s="51"/>
      <c r="I11" s="51"/>
      <c r="J11" s="51"/>
      <c r="K11" s="51"/>
      <c r="L11" s="51"/>
      <c r="M11" s="51"/>
      <c r="N11" s="51"/>
    </row>
    <row r="12" spans="1:14" ht="13" customHeight="1" x14ac:dyDescent="0.4">
      <c r="A12" s="53" t="str">
        <f>IF(SCHEDULE!$P3&gt;0,CONCATENATE(SCHEDULE!$F3," - ", SCHEDULE!$G3), SCHEDULE!$F3)</f>
        <v>Exton</v>
      </c>
      <c r="D12" s="77"/>
      <c r="E12" s="65"/>
      <c r="H12" s="51"/>
      <c r="I12" s="51"/>
      <c r="J12" s="51"/>
      <c r="K12" s="51"/>
      <c r="L12" s="51"/>
      <c r="M12" s="51"/>
      <c r="N12" s="51"/>
    </row>
    <row r="13" spans="1:14" ht="13" customHeight="1" x14ac:dyDescent="0.4">
      <c r="A13" s="61" t="str">
        <f>_xlfn.CONCAT("(",SCHEDULE!$A3,") - ",TEXT(SCHEDULE!$C3,"DDD M/D")," ",TEXT(SCHEDULE!$D3,"H:MM AM/PM"),"                  (",SCHEDULE!$L3,")")</f>
        <v>(2) - Sat 6/13 10:00 AM                  (EX-Manor Park)</v>
      </c>
      <c r="B13" s="52"/>
      <c r="D13" s="77"/>
      <c r="E13" s="65"/>
      <c r="H13" s="51"/>
      <c r="I13" s="51"/>
      <c r="J13" s="51"/>
      <c r="K13" s="51"/>
      <c r="L13" s="51"/>
      <c r="M13" s="51"/>
      <c r="N13" s="51"/>
    </row>
    <row r="14" spans="1:14" ht="13" customHeight="1" x14ac:dyDescent="0.4">
      <c r="A14" s="62"/>
      <c r="B14" s="53" t="str">
        <f ca="1">IF(SCHEDULE!$P6&gt;0,CONCATENATE(SCHEDULE!$F6," - ", SCHEDULE!$G6), SCHEDULE!$F6)</f>
        <v>WG-2</v>
      </c>
      <c r="D14" s="77"/>
      <c r="E14" s="65"/>
      <c r="H14" s="51"/>
      <c r="I14" s="51"/>
      <c r="J14" s="51"/>
      <c r="K14" s="51"/>
      <c r="L14" s="51"/>
      <c r="M14" s="51"/>
      <c r="N14" s="51"/>
    </row>
    <row r="15" spans="1:14" ht="13" customHeight="1" x14ac:dyDescent="0.4">
      <c r="A15" s="63"/>
      <c r="B15" s="67" t="str">
        <f>_xlfn.CONCAT("(",SCHEDULE!$A6,") - ",TEXT(SCHEDULE!$C6,"DDD M/D")," ",TEXT(SCHEDULE!$D6,"H:MM AM/PM"),"                      (",SCHEDULE!$L6,")")</f>
        <v>(4) - Tue 6/16 6:00 PM                      (LM-S. Ardmore Park)</v>
      </c>
      <c r="D15" s="77"/>
      <c r="E15" s="65"/>
      <c r="H15" s="51"/>
      <c r="I15" s="51"/>
      <c r="J15" s="51"/>
      <c r="K15" s="51"/>
      <c r="L15" s="51"/>
      <c r="M15" s="51"/>
      <c r="N15" s="51"/>
    </row>
    <row r="16" spans="1:14" ht="13" customHeight="1" x14ac:dyDescent="0.4">
      <c r="A16" s="53" t="str">
        <f>IF(SCHEDULE!$P3&gt;0,CONCATENATE(SCHEDULE!$I3," - ", SCHEDULE!$J3), SCHEDULE!$I3)</f>
        <v>Radnor/Wayne</v>
      </c>
      <c r="B16" s="68"/>
      <c r="D16" s="77"/>
      <c r="E16" s="65"/>
      <c r="H16" s="51"/>
      <c r="I16" s="51"/>
      <c r="J16" s="51"/>
      <c r="K16" s="51"/>
      <c r="L16" s="51"/>
      <c r="M16" s="51"/>
      <c r="N16" s="51"/>
    </row>
    <row r="17" spans="1:14" ht="13" customHeight="1" x14ac:dyDescent="0.4">
      <c r="A17" s="51"/>
      <c r="B17" s="68"/>
      <c r="C17" s="55"/>
      <c r="D17" s="78"/>
      <c r="E17" s="65"/>
      <c r="F17" s="53" t="str">
        <f ca="1">IF(SCHEDULE!$P18&gt;0,CONCATENATE(SCHEDULE!$F18," - ", SCHEDULE!$G18), SCHEDULE!$F18)</f>
        <v>WG-10</v>
      </c>
      <c r="H17" s="51"/>
      <c r="I17" s="51"/>
      <c r="J17" s="51"/>
      <c r="K17" s="51"/>
      <c r="L17" s="51"/>
      <c r="M17" s="51"/>
      <c r="N17" s="51"/>
    </row>
    <row r="18" spans="1:14" ht="13" customHeight="1" x14ac:dyDescent="0.4">
      <c r="A18" s="51"/>
      <c r="B18" s="68"/>
      <c r="D18" s="53" t="str">
        <f ca="1">IF(SCHEDULE!$P11&gt;0,CONCATENATE(SCHEDULE!$I11," - ", SCHEDULE!$J11), SCHEDULE!$I11)</f>
        <v>WG-4</v>
      </c>
      <c r="E18" s="65"/>
      <c r="F18" s="64" t="str">
        <f>_xlfn.CONCAT("(",SCHEDULE!$A18,") - ",TEXT(SCHEDULE!$C18,"DDD M/D")," ",TEXT(SCHEDULE!$D18,"H:MM AM/PM"),"                  (",SCHEDULE!$L18,")")</f>
        <v>(11) - Thu 6/25 6:00 PM                  (BP-Field of Dreams)</v>
      </c>
      <c r="H18" s="51"/>
      <c r="I18" s="51"/>
      <c r="J18" s="51"/>
      <c r="K18" s="51"/>
      <c r="L18" s="51"/>
      <c r="M18" s="51"/>
      <c r="N18" s="51"/>
    </row>
    <row r="19" spans="1:14" ht="13" customHeight="1" x14ac:dyDescent="0.4">
      <c r="A19" s="51"/>
      <c r="B19" s="69"/>
      <c r="E19" s="65"/>
      <c r="F19" s="65"/>
      <c r="H19" s="51"/>
      <c r="I19" s="51"/>
      <c r="J19" s="51"/>
      <c r="K19" s="51"/>
      <c r="L19" s="51"/>
      <c r="M19" s="51"/>
      <c r="N19" s="51"/>
    </row>
    <row r="20" spans="1:14" ht="13" customHeight="1" x14ac:dyDescent="0.4">
      <c r="A20" s="51"/>
      <c r="B20" s="53" t="str">
        <f>IF(SCHEDULE!$P6&gt;0,CONCATENATE(SCHEDULE!$I6," - ", SCHEDULE!$J6), SCHEDULE!$I6)</f>
        <v>Lower Merion</v>
      </c>
      <c r="E20" s="65"/>
      <c r="F20" s="65"/>
      <c r="H20" s="51"/>
      <c r="I20" s="51"/>
      <c r="J20" s="51"/>
      <c r="K20" s="51"/>
      <c r="L20" s="51"/>
      <c r="M20" s="51"/>
      <c r="N20" s="51"/>
    </row>
    <row r="21" spans="1:14" ht="13" customHeight="1" x14ac:dyDescent="0.4">
      <c r="A21" s="51"/>
      <c r="B21" s="52"/>
      <c r="E21" s="65"/>
      <c r="F21" s="65"/>
      <c r="H21" s="51"/>
      <c r="I21" s="51"/>
      <c r="J21" s="51"/>
      <c r="K21" s="51"/>
      <c r="L21" s="51"/>
      <c r="M21" s="51"/>
      <c r="N21" s="51"/>
    </row>
    <row r="22" spans="1:14" ht="13" customHeight="1" x14ac:dyDescent="0.4">
      <c r="A22" s="51"/>
      <c r="D22" s="53" t="str">
        <f ca="1">IF(SCHEDULE!$P14&gt;0,CONCATENATE(SCHEDULE!$I14," - ", SCHEDULE!$J14), SCHEDULE!$I14)</f>
        <v>LG-7</v>
      </c>
      <c r="E22" s="65"/>
      <c r="F22" s="65"/>
      <c r="H22" s="51"/>
      <c r="I22" s="51"/>
      <c r="J22" s="51"/>
      <c r="K22" s="51"/>
      <c r="L22" s="51"/>
      <c r="M22" s="51"/>
      <c r="N22" s="51"/>
    </row>
    <row r="23" spans="1:14" ht="13" customHeight="1" x14ac:dyDescent="0.4">
      <c r="A23" s="51"/>
      <c r="D23" s="70" t="str">
        <f>_xlfn.CONCAT("(",SCHEDULE!$A14,") - ",TEXT(SCHEDULE!$C14,"DDD M/D")," ",TEXT(SCHEDULE!$D14,"H:MM AM/PM"),"                (",SCHEDULE!$L14,")")</f>
        <v>(9) - Mon 6/22 6:00 PM                (R/W-Tunnell Park)</v>
      </c>
      <c r="E23" s="65"/>
      <c r="F23" s="65"/>
      <c r="H23" s="51"/>
      <c r="I23" s="51"/>
      <c r="J23" s="51"/>
      <c r="K23" s="51"/>
      <c r="L23" s="51"/>
      <c r="M23" s="51"/>
      <c r="N23" s="51"/>
    </row>
    <row r="24" spans="1:14" ht="13" customHeight="1" x14ac:dyDescent="0.4">
      <c r="A24" s="51"/>
      <c r="D24" s="71"/>
      <c r="E24" s="65"/>
      <c r="F24" s="65"/>
      <c r="H24" s="51"/>
      <c r="I24" s="51"/>
      <c r="J24" s="51"/>
      <c r="K24" s="51"/>
      <c r="L24" s="51"/>
      <c r="M24" s="51"/>
      <c r="N24" s="51"/>
    </row>
    <row r="25" spans="1:14" ht="13" customHeight="1" x14ac:dyDescent="0.4">
      <c r="A25" s="51"/>
      <c r="B25" s="53" t="str">
        <f ca="1">IF(SCHEDULE!$P8&gt;0,CONCATENATE(SCHEDULE!$F8," - ", SCHEDULE!$G8), SCHEDULE!$F8)</f>
        <v>LG-1</v>
      </c>
      <c r="D25" s="71"/>
      <c r="E25" s="65"/>
      <c r="F25" s="65"/>
      <c r="H25" s="51"/>
      <c r="I25" s="51"/>
      <c r="J25" s="51"/>
      <c r="K25" s="51"/>
      <c r="L25" s="51"/>
      <c r="M25" s="51"/>
      <c r="N25" s="51"/>
    </row>
    <row r="26" spans="1:14" ht="13" customHeight="1" thickBot="1" x14ac:dyDescent="0.45">
      <c r="A26" s="51"/>
      <c r="B26" s="73" t="str">
        <f>_xlfn.CONCAT("(",SCHEDULE!$A8,") - ",TEXT(SCHEDULE!$C8,"DDD M/D")," ",TEXT(SCHEDULE!$D8,"H:MM AM/PM"),"                  (",SCHEDULE!$L8,")")</f>
        <v>(5) - Thu 6/18 6:00 PM                  (R/W-Tunnell Park)</v>
      </c>
      <c r="C26" s="52"/>
      <c r="D26" s="71"/>
      <c r="E26" s="66"/>
      <c r="F26" s="65"/>
      <c r="G26" s="86" t="str">
        <f ca="1">+SCHEDULE!F20</f>
        <v>Champion</v>
      </c>
      <c r="H26" s="51"/>
      <c r="I26" s="51"/>
      <c r="J26" s="51"/>
      <c r="K26" s="51"/>
      <c r="L26" s="51"/>
      <c r="M26" s="51"/>
    </row>
    <row r="27" spans="1:14" ht="13" customHeight="1" x14ac:dyDescent="0.4">
      <c r="A27" s="51"/>
      <c r="B27" s="74"/>
      <c r="C27" s="53" t="str">
        <f ca="1">IF(SCHEDULE!$P12&gt;0,CONCATENATE(SCHEDULE!$F12," - ", SCHEDULE!$G12), SCHEDULE!$F12)</f>
        <v>WG-5</v>
      </c>
      <c r="D27" s="71"/>
      <c r="E27" s="53" t="str">
        <f ca="1">IF(SCHEDULE!$P16&gt;0,CONCATENATE(SCHEDULE!$I16," - ", SCHEDULE!$J16), SCHEDULE!$I16)</f>
        <v>WG-9</v>
      </c>
      <c r="F27" s="65"/>
      <c r="G27" s="53" t="str">
        <f ca="1">IF(G26="Champion","","CHAMPION")</f>
        <v/>
      </c>
      <c r="H27" s="51"/>
      <c r="I27" s="51"/>
      <c r="J27" s="51"/>
      <c r="K27" s="51"/>
      <c r="L27" s="51"/>
      <c r="M27" s="51"/>
    </row>
    <row r="28" spans="1:14" ht="13" customHeight="1" x14ac:dyDescent="0.4">
      <c r="A28" s="51"/>
      <c r="B28" s="75"/>
      <c r="C28" s="76" t="str">
        <f>_xlfn.CONCAT("(",SCHEDULE!$A12,") - ",TEXT(SCHEDULE!$C12,"DDD M/D")," ",TEXT(SCHEDULE!$D12,"H:MM AM/PM"),"                (",SCHEDULE!$L12,")")</f>
        <v>(8) - Sat 6/20 11:00 AM                (LP-Palmer Park)</v>
      </c>
      <c r="D28" s="71"/>
      <c r="E28" s="52"/>
      <c r="F28" s="65"/>
      <c r="G28" s="52"/>
      <c r="H28" s="51"/>
      <c r="I28" s="51"/>
      <c r="J28" s="51"/>
      <c r="K28" s="51"/>
      <c r="L28" s="51"/>
      <c r="M28" s="51"/>
    </row>
    <row r="29" spans="1:14" ht="13" customHeight="1" x14ac:dyDescent="0.4">
      <c r="A29" s="51"/>
      <c r="B29" s="53" t="str">
        <f ca="1">IF(SCHEDULE!$P8&gt;0,CONCATENATE(SCHEDULE!$I8," - ", SCHEDULE!$J8), SCHEDULE!$I8)</f>
        <v>LG-4</v>
      </c>
      <c r="C29" s="77"/>
      <c r="D29" s="71"/>
      <c r="F29" s="65"/>
      <c r="H29" s="51"/>
      <c r="I29" s="51"/>
      <c r="J29" s="51"/>
      <c r="K29" s="51"/>
      <c r="L29" s="51"/>
      <c r="M29" s="51"/>
    </row>
    <row r="30" spans="1:14" ht="13" customHeight="1" x14ac:dyDescent="0.4">
      <c r="A30" s="51"/>
      <c r="C30" s="77"/>
      <c r="D30" s="71"/>
      <c r="F30" s="65"/>
      <c r="H30" s="51"/>
      <c r="I30" s="51"/>
      <c r="J30" s="51"/>
      <c r="K30" s="51"/>
      <c r="L30" s="51"/>
      <c r="M30" s="51"/>
    </row>
    <row r="31" spans="1:14" ht="13" customHeight="1" x14ac:dyDescent="0.4">
      <c r="A31" s="51"/>
      <c r="C31" s="77"/>
      <c r="D31" s="72"/>
      <c r="F31" s="65"/>
      <c r="H31" s="51"/>
      <c r="I31" s="51"/>
      <c r="J31" s="51"/>
      <c r="K31" s="51"/>
      <c r="L31" s="51"/>
      <c r="M31" s="51"/>
    </row>
    <row r="32" spans="1:14" ht="13" customHeight="1" x14ac:dyDescent="0.4">
      <c r="A32" s="51"/>
      <c r="C32" s="77"/>
      <c r="D32" s="53" t="str">
        <f ca="1">IF(SCHEDULE!$P14&gt;0,CONCATENATE(SCHEDULE!$F14," - ", SCHEDULE!$G14), SCHEDULE!$F14)</f>
        <v>WG-8</v>
      </c>
      <c r="F32" s="65"/>
      <c r="H32" s="51"/>
      <c r="I32" s="51"/>
      <c r="J32" s="51"/>
      <c r="K32" s="51"/>
      <c r="L32" s="51"/>
      <c r="M32" s="51"/>
    </row>
    <row r="33" spans="1:14" ht="13" customHeight="1" x14ac:dyDescent="0.4">
      <c r="A33" s="51"/>
      <c r="B33" s="52"/>
      <c r="C33" s="77"/>
      <c r="F33" s="65"/>
      <c r="H33" s="51"/>
      <c r="I33" s="51"/>
      <c r="J33" s="51"/>
      <c r="K33" s="51"/>
      <c r="L33" s="51"/>
      <c r="M33" s="51"/>
    </row>
    <row r="34" spans="1:14" ht="13" customHeight="1" x14ac:dyDescent="0.4">
      <c r="A34" s="51"/>
      <c r="B34" s="53" t="str">
        <f ca="1">IF(SCHEDULE!$P9&gt;0,CONCATENATE(SCHEDULE!$F9," - ", SCHEDULE!$G9), SCHEDULE!$F9)</f>
        <v>LG-2</v>
      </c>
      <c r="C34" s="77"/>
      <c r="F34" s="65"/>
      <c r="H34" s="51"/>
      <c r="I34" s="51"/>
      <c r="J34" s="51"/>
      <c r="K34" s="51"/>
      <c r="L34" s="51"/>
      <c r="M34" s="51"/>
    </row>
    <row r="35" spans="1:14" ht="13" customHeight="1" x14ac:dyDescent="0.4">
      <c r="A35" s="51"/>
      <c r="B35" s="73" t="str">
        <f>_xlfn.CONCAT("(",SCHEDULE!$A9,") - ",TEXT(SCHEDULE!$C9,"DDD M/D")," ",TEXT(SCHEDULE!$D9,"H:MM AM/PM"),"                  (",SCHEDULE!$L9,")")</f>
        <v>(6) - Thu 6/18 6:00 PM                  (CV-Mill Rd Park)</v>
      </c>
      <c r="C35" s="78"/>
      <c r="F35" s="65"/>
      <c r="H35" s="51"/>
      <c r="I35" s="51"/>
      <c r="J35" s="51"/>
      <c r="K35" s="51"/>
      <c r="L35" s="51"/>
      <c r="M35" s="51"/>
    </row>
    <row r="36" spans="1:14" ht="13" customHeight="1" x14ac:dyDescent="0.4">
      <c r="A36" s="51"/>
      <c r="B36" s="74"/>
      <c r="C36" s="53" t="str">
        <f ca="1">IF(SCHEDULE!$P12&gt;0,CONCATENATE(SCHEDULE!$I12," - ", SCHEDULE!$J12), SCHEDULE!$I12)</f>
        <v>WG-6</v>
      </c>
      <c r="F36" s="65"/>
      <c r="H36" s="51"/>
      <c r="I36" s="51"/>
      <c r="J36" s="51"/>
      <c r="K36" s="51"/>
      <c r="L36" s="51"/>
      <c r="M36" s="51"/>
    </row>
    <row r="37" spans="1:14" ht="13" customHeight="1" x14ac:dyDescent="0.4">
      <c r="A37" s="51"/>
      <c r="B37" s="75"/>
      <c r="C37" s="52"/>
      <c r="F37" s="66"/>
      <c r="H37" s="51"/>
      <c r="I37" s="51"/>
      <c r="J37" s="51"/>
      <c r="K37" s="51"/>
      <c r="L37" s="51"/>
      <c r="M37" s="51"/>
    </row>
    <row r="38" spans="1:14" ht="13" customHeight="1" x14ac:dyDescent="0.4">
      <c r="A38" s="51"/>
      <c r="B38" s="53" t="str">
        <f ca="1">IF(SCHEDULE!$P9&gt;0,CONCATENATE(SCHEDULE!$I9," - ", SCHEDULE!$J9), SCHEDULE!$I9)</f>
        <v>LG-3</v>
      </c>
      <c r="F38" s="53" t="str">
        <f ca="1">IF(SCHEDULE!$P18&gt;0,CONCATENATE(SCHEDULE!$I18," - ", SCHEDULE!$J18), SCHEDULE!$I18)</f>
        <v>If Necessary</v>
      </c>
      <c r="H38" s="51"/>
      <c r="I38" s="51"/>
      <c r="J38" s="51"/>
      <c r="K38" s="51"/>
      <c r="L38" s="51"/>
      <c r="M38" s="51"/>
    </row>
    <row r="39" spans="1:14" ht="13" customHeight="1" x14ac:dyDescent="0.4">
      <c r="A39" s="51"/>
      <c r="H39" s="51"/>
      <c r="I39" s="51"/>
      <c r="J39" s="51"/>
      <c r="K39" s="51"/>
      <c r="L39" s="51"/>
      <c r="M39" s="51"/>
    </row>
    <row r="40" spans="1:14" ht="13" customHeight="1" x14ac:dyDescent="0.4">
      <c r="A40" s="51"/>
      <c r="H40" s="51"/>
      <c r="I40" s="51"/>
      <c r="J40" s="51"/>
      <c r="K40" s="51"/>
      <c r="L40" s="51"/>
      <c r="M40" s="51"/>
    </row>
    <row r="41" spans="1:14" ht="11.9" customHeight="1" x14ac:dyDescent="0.4">
      <c r="A41" s="51"/>
      <c r="H41" s="51"/>
      <c r="I41" s="51"/>
      <c r="J41" s="51"/>
      <c r="K41" s="51"/>
      <c r="L41" s="51"/>
      <c r="M41" s="51"/>
    </row>
    <row r="42" spans="1:14" ht="11.9" customHeight="1" x14ac:dyDescent="0.4">
      <c r="A42" s="51"/>
      <c r="H42" s="51"/>
      <c r="I42" s="51"/>
      <c r="J42" s="51"/>
      <c r="K42" s="51"/>
      <c r="L42" s="51"/>
      <c r="M42" s="51"/>
    </row>
    <row r="43" spans="1:14" ht="11.9" customHeight="1" x14ac:dyDescent="0.4">
      <c r="A43" s="51"/>
      <c r="H43" s="51"/>
      <c r="I43" s="51"/>
      <c r="J43" s="51"/>
      <c r="K43" s="51"/>
      <c r="L43" s="51"/>
      <c r="M43" s="51"/>
    </row>
    <row r="44" spans="1:14" ht="11.9" customHeight="1" x14ac:dyDescent="0.4">
      <c r="A44" s="51"/>
      <c r="H44" s="51"/>
      <c r="I44" s="51"/>
      <c r="J44" s="51"/>
      <c r="K44" s="51"/>
      <c r="L44" s="51"/>
      <c r="M44" s="51"/>
    </row>
    <row r="45" spans="1:14" ht="11.9" customHeight="1" x14ac:dyDescent="0.4">
      <c r="A45" s="51"/>
      <c r="H45" s="51"/>
      <c r="I45" s="51"/>
      <c r="J45" s="51"/>
      <c r="K45" s="51"/>
      <c r="L45" s="51"/>
      <c r="M45" s="51"/>
    </row>
    <row r="46" spans="1:14" ht="11.9" customHeight="1" x14ac:dyDescent="0.4">
      <c r="A46" s="51"/>
      <c r="H46" s="51"/>
      <c r="I46" s="51"/>
      <c r="J46" s="51"/>
      <c r="K46" s="51"/>
      <c r="L46" s="51"/>
      <c r="M46" s="51"/>
    </row>
    <row r="47" spans="1:14" ht="11.9" customHeight="1" x14ac:dyDescent="0.4">
      <c r="A47" s="51"/>
      <c r="H47" s="51"/>
      <c r="I47" s="51"/>
      <c r="J47" s="51"/>
      <c r="K47" s="51"/>
      <c r="L47" s="51"/>
      <c r="M47" s="51"/>
      <c r="N47" s="51"/>
    </row>
    <row r="48" spans="1:14" ht="11.9" customHeight="1" x14ac:dyDescent="0.4">
      <c r="A48" s="51"/>
      <c r="H48" s="51"/>
      <c r="I48" s="51"/>
      <c r="J48" s="51"/>
      <c r="K48" s="51"/>
      <c r="L48" s="51"/>
      <c r="M48" s="51"/>
      <c r="N48" s="51"/>
    </row>
    <row r="49" spans="1:14" ht="11.9" customHeight="1" x14ac:dyDescent="0.4">
      <c r="A49" s="51"/>
      <c r="H49" s="51"/>
      <c r="I49" s="51"/>
      <c r="J49" s="51"/>
      <c r="K49" s="51"/>
      <c r="L49" s="51"/>
      <c r="M49" s="51"/>
      <c r="N49" s="51"/>
    </row>
    <row r="50" spans="1:14" ht="11.9" customHeight="1" x14ac:dyDescent="0.4">
      <c r="A50" s="51"/>
      <c r="H50" s="51"/>
      <c r="I50" s="51"/>
      <c r="J50" s="51"/>
      <c r="K50" s="51"/>
      <c r="L50" s="51"/>
      <c r="M50" s="51"/>
      <c r="N50" s="51"/>
    </row>
    <row r="51" spans="1:14" ht="11.9" customHeight="1" x14ac:dyDescent="0.4">
      <c r="A51" s="51"/>
      <c r="H51" s="51"/>
      <c r="I51" s="51"/>
      <c r="J51" s="51"/>
      <c r="K51" s="51"/>
      <c r="L51" s="51"/>
      <c r="M51" s="51"/>
      <c r="N51" s="51"/>
    </row>
    <row r="52" spans="1:14" ht="11.9" customHeight="1" x14ac:dyDescent="0.4">
      <c r="A52" s="51"/>
      <c r="H52" s="51"/>
      <c r="I52" s="51"/>
      <c r="J52" s="51"/>
      <c r="K52" s="51"/>
      <c r="L52" s="51"/>
      <c r="M52" s="51"/>
      <c r="N52" s="51"/>
    </row>
    <row r="53" spans="1:14" ht="11.9" customHeight="1" x14ac:dyDescent="0.4">
      <c r="A53" s="51"/>
      <c r="H53" s="51"/>
      <c r="I53" s="51"/>
      <c r="J53" s="51"/>
      <c r="K53" s="51"/>
      <c r="L53" s="51"/>
      <c r="M53" s="51"/>
      <c r="N53" s="51"/>
    </row>
    <row r="54" spans="1:14" ht="11.9" customHeight="1" x14ac:dyDescent="0.4">
      <c r="A54" s="51"/>
      <c r="H54" s="51"/>
      <c r="I54" s="51"/>
      <c r="J54" s="51"/>
      <c r="K54" s="51"/>
      <c r="L54" s="51"/>
      <c r="M54" s="51"/>
      <c r="N54" s="51"/>
    </row>
    <row r="55" spans="1:14" ht="11.9" customHeight="1" x14ac:dyDescent="0.4">
      <c r="A55" s="51"/>
      <c r="H55" s="51"/>
      <c r="I55" s="51"/>
      <c r="J55" s="51"/>
      <c r="K55" s="51"/>
      <c r="L55" s="51"/>
      <c r="M55" s="51"/>
      <c r="N55" s="51"/>
    </row>
    <row r="56" spans="1:14" ht="11.9" customHeight="1" x14ac:dyDescent="0.4">
      <c r="A56" s="51"/>
      <c r="H56" s="51"/>
      <c r="I56" s="51"/>
      <c r="J56" s="51"/>
      <c r="K56" s="51"/>
      <c r="L56" s="51"/>
      <c r="M56" s="51"/>
      <c r="N56" s="51"/>
    </row>
    <row r="57" spans="1:14" x14ac:dyDescent="0.4">
      <c r="A57" s="51"/>
    </row>
    <row r="58" spans="1:14" x14ac:dyDescent="0.4">
      <c r="A58" s="51"/>
    </row>
    <row r="59" spans="1:14" x14ac:dyDescent="0.4">
      <c r="A59" s="51"/>
    </row>
    <row r="60" spans="1:14" x14ac:dyDescent="0.4">
      <c r="A60" s="51"/>
    </row>
    <row r="61" spans="1:14" x14ac:dyDescent="0.4">
      <c r="A61" s="51"/>
    </row>
    <row r="62" spans="1:14" x14ac:dyDescent="0.4">
      <c r="A62" s="51"/>
    </row>
    <row r="63" spans="1:14" x14ac:dyDescent="0.4">
      <c r="A63" s="51"/>
    </row>
    <row r="64" spans="1:14" x14ac:dyDescent="0.4">
      <c r="A64" s="51"/>
    </row>
    <row r="65" spans="1:1" x14ac:dyDescent="0.4">
      <c r="A65" s="51"/>
    </row>
    <row r="66" spans="1:1" x14ac:dyDescent="0.4">
      <c r="A66" s="51"/>
    </row>
    <row r="67" spans="1:1" x14ac:dyDescent="0.4">
      <c r="A67" s="51"/>
    </row>
    <row r="68" spans="1:1" x14ac:dyDescent="0.4">
      <c r="A68" s="51"/>
    </row>
    <row r="69" spans="1:1" x14ac:dyDescent="0.4">
      <c r="A69" s="51"/>
    </row>
    <row r="70" spans="1:1" x14ac:dyDescent="0.4">
      <c r="A70" s="51"/>
    </row>
    <row r="71" spans="1:1" x14ac:dyDescent="0.4">
      <c r="A71" s="51"/>
    </row>
    <row r="72" spans="1:1" x14ac:dyDescent="0.4">
      <c r="A72" s="51"/>
    </row>
    <row r="73" spans="1:1" x14ac:dyDescent="0.4">
      <c r="A73" s="51"/>
    </row>
    <row r="74" spans="1:1" x14ac:dyDescent="0.4">
      <c r="A74" s="51"/>
    </row>
    <row r="75" spans="1:1" x14ac:dyDescent="0.4">
      <c r="A75" s="51"/>
    </row>
    <row r="76" spans="1:1" x14ac:dyDescent="0.4">
      <c r="A76" s="51"/>
    </row>
    <row r="77" spans="1:1" x14ac:dyDescent="0.4">
      <c r="A77" s="51"/>
    </row>
    <row r="78" spans="1:1" x14ac:dyDescent="0.4">
      <c r="A78" s="51"/>
    </row>
    <row r="79" spans="1:1" x14ac:dyDescent="0.4">
      <c r="A79" s="51"/>
    </row>
    <row r="80" spans="1:1" x14ac:dyDescent="0.4">
      <c r="A80" s="51"/>
    </row>
    <row r="81" spans="1:1" x14ac:dyDescent="0.4">
      <c r="A81" s="51"/>
    </row>
    <row r="82" spans="1:1" x14ac:dyDescent="0.4">
      <c r="A82" s="51"/>
    </row>
    <row r="83" spans="1:1" x14ac:dyDescent="0.4">
      <c r="A83" s="51"/>
    </row>
    <row r="84" spans="1:1" x14ac:dyDescent="0.4">
      <c r="A84" s="51"/>
    </row>
    <row r="85" spans="1:1" x14ac:dyDescent="0.4">
      <c r="A85" s="51"/>
    </row>
    <row r="86" spans="1:1" x14ac:dyDescent="0.4">
      <c r="A86" s="51"/>
    </row>
    <row r="87" spans="1:1" x14ac:dyDescent="0.4">
      <c r="A87" s="51"/>
    </row>
    <row r="88" spans="1:1" x14ac:dyDescent="0.4">
      <c r="A88" s="51"/>
    </row>
    <row r="89" spans="1:1" x14ac:dyDescent="0.4">
      <c r="A89" s="51"/>
    </row>
    <row r="90" spans="1:1" x14ac:dyDescent="0.4">
      <c r="A90" s="51"/>
    </row>
    <row r="91" spans="1:1" x14ac:dyDescent="0.4">
      <c r="A91" s="51"/>
    </row>
    <row r="92" spans="1:1" x14ac:dyDescent="0.4">
      <c r="A92" s="51"/>
    </row>
    <row r="93" spans="1:1" x14ac:dyDescent="0.4">
      <c r="A93" s="51"/>
    </row>
    <row r="94" spans="1:1" x14ac:dyDescent="0.4">
      <c r="A94" s="51"/>
    </row>
    <row r="95" spans="1:1" x14ac:dyDescent="0.4">
      <c r="A95" s="51"/>
    </row>
    <row r="96" spans="1:1" x14ac:dyDescent="0.4">
      <c r="A96" s="51"/>
    </row>
    <row r="97" spans="1:1" x14ac:dyDescent="0.4">
      <c r="A97" s="51"/>
    </row>
    <row r="98" spans="1:1" x14ac:dyDescent="0.4">
      <c r="A98" s="51"/>
    </row>
    <row r="99" spans="1:1" x14ac:dyDescent="0.4">
      <c r="A99" s="51"/>
    </row>
    <row r="100" spans="1:1" x14ac:dyDescent="0.4">
      <c r="A100" s="51"/>
    </row>
    <row r="101" spans="1:1" x14ac:dyDescent="0.4">
      <c r="A101" s="51"/>
    </row>
    <row r="102" spans="1:1" x14ac:dyDescent="0.4">
      <c r="A102" s="51"/>
    </row>
    <row r="103" spans="1:1" x14ac:dyDescent="0.4">
      <c r="A103" s="51"/>
    </row>
    <row r="104" spans="1:1" x14ac:dyDescent="0.4">
      <c r="A104" s="51"/>
    </row>
    <row r="105" spans="1:1" x14ac:dyDescent="0.4">
      <c r="A105" s="51"/>
    </row>
    <row r="106" spans="1:1" x14ac:dyDescent="0.4">
      <c r="A106" s="51"/>
    </row>
    <row r="107" spans="1:1" x14ac:dyDescent="0.4">
      <c r="A107" s="51"/>
    </row>
    <row r="108" spans="1:1" x14ac:dyDescent="0.4">
      <c r="A108" s="51"/>
    </row>
    <row r="109" spans="1:1" x14ac:dyDescent="0.4">
      <c r="A109" s="51"/>
    </row>
    <row r="110" spans="1:1" x14ac:dyDescent="0.4">
      <c r="A110" s="51"/>
    </row>
    <row r="111" spans="1:1" x14ac:dyDescent="0.4">
      <c r="A111" s="51"/>
    </row>
    <row r="112" spans="1:1" x14ac:dyDescent="0.4">
      <c r="A112" s="51"/>
    </row>
    <row r="113" spans="1:1" x14ac:dyDescent="0.4">
      <c r="A113" s="51"/>
    </row>
    <row r="114" spans="1:1" x14ac:dyDescent="0.4">
      <c r="A114" s="51"/>
    </row>
    <row r="115" spans="1:1" x14ac:dyDescent="0.4">
      <c r="A115" s="51"/>
    </row>
    <row r="116" spans="1:1" x14ac:dyDescent="0.4">
      <c r="A116" s="51"/>
    </row>
    <row r="117" spans="1:1" x14ac:dyDescent="0.4">
      <c r="A117" s="51"/>
    </row>
    <row r="118" spans="1:1" x14ac:dyDescent="0.4">
      <c r="A118" s="51"/>
    </row>
    <row r="119" spans="1:1" x14ac:dyDescent="0.4">
      <c r="A119" s="51"/>
    </row>
  </sheetData>
  <mergeCells count="13">
    <mergeCell ref="F2:G2"/>
    <mergeCell ref="G3:G4"/>
    <mergeCell ref="A7:A9"/>
    <mergeCell ref="E11:E26"/>
    <mergeCell ref="A13:A15"/>
    <mergeCell ref="B15:B19"/>
    <mergeCell ref="F18:F37"/>
    <mergeCell ref="D23:D31"/>
    <mergeCell ref="B26:B28"/>
    <mergeCell ref="C28:C35"/>
    <mergeCell ref="B35:B37"/>
    <mergeCell ref="B3:B7"/>
    <mergeCell ref="D5:D17"/>
  </mergeCells>
  <printOptions horizontalCentered="1"/>
  <pageMargins left="0.25" right="0.25" top="0.5" bottom="0.5" header="0.25" footer="0.25"/>
  <pageSetup scale="92" orientation="landscape" r:id="rId1"/>
  <headerFooter>
    <oddHeader>&amp;F</oddHeader>
    <oddFooter>&amp;L&amp;A&amp;C&amp;D&amp;RPage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B831-7E25-4899-A33E-B9566DE548FB}">
  <dimension ref="A1:R30"/>
  <sheetViews>
    <sheetView zoomScale="80" zoomScaleNormal="8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9.15234375" defaultRowHeight="14.6" x14ac:dyDescent="0.4"/>
  <cols>
    <col min="1" max="1" width="9.23046875" style="10" bestFit="1" customWidth="1"/>
    <col min="2" max="2" width="3.69140625" style="27" bestFit="1" customWidth="1"/>
    <col min="3" max="3" width="15.84375" style="27" bestFit="1" customWidth="1"/>
    <col min="4" max="4" width="14.23046875" style="32" bestFit="1" customWidth="1"/>
    <col min="5" max="5" width="13.69140625" style="27" bestFit="1" customWidth="1"/>
    <col min="6" max="6" width="10.61328125" style="31" bestFit="1" customWidth="1"/>
    <col min="7" max="7" width="15.84375" style="27" bestFit="1" customWidth="1"/>
    <col min="8" max="8" width="6.23046875" style="31" bestFit="1" customWidth="1"/>
    <col min="9" max="9" width="3.15234375" style="31" bestFit="1" customWidth="1"/>
    <col min="10" max="10" width="23.84375" style="31" bestFit="1" customWidth="1"/>
    <col min="11" max="11" width="10.15234375" style="27" bestFit="1" customWidth="1"/>
    <col min="12" max="12" width="23.84375" style="31" bestFit="1" customWidth="1"/>
    <col min="13" max="13" width="28.15234375" style="10" bestFit="1" customWidth="1"/>
    <col min="14" max="14" width="15.69140625" style="10" bestFit="1" customWidth="1"/>
    <col min="15" max="15" width="9.15234375" style="10" bestFit="1"/>
    <col min="16" max="16" width="13.69140625" style="10" bestFit="1" customWidth="1"/>
    <col min="17" max="17" width="23.84375" style="10" bestFit="1" customWidth="1"/>
    <col min="18" max="18" width="8" style="10" bestFit="1" customWidth="1"/>
    <col min="19" max="16384" width="9.15234375" style="10"/>
  </cols>
  <sheetData>
    <row r="1" spans="1:18" s="3" customFormat="1" x14ac:dyDescent="0.4">
      <c r="A1" s="1" t="s">
        <v>0</v>
      </c>
      <c r="B1" s="1" t="s">
        <v>26</v>
      </c>
      <c r="C1" s="1" t="s">
        <v>1</v>
      </c>
      <c r="D1" s="1" t="s">
        <v>2</v>
      </c>
      <c r="E1" s="1" t="s">
        <v>3</v>
      </c>
      <c r="F1" s="2"/>
      <c r="G1" s="82" t="s">
        <v>4</v>
      </c>
      <c r="H1" s="83"/>
      <c r="I1" s="83"/>
      <c r="J1" s="83"/>
      <c r="K1" s="84"/>
      <c r="L1" s="1" t="s">
        <v>62</v>
      </c>
      <c r="M1" s="1" t="s">
        <v>63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 ht="29.15" x14ac:dyDescent="0.4">
      <c r="A2" s="4" t="str">
        <f t="shared" ref="A2:A12" si="0">CONCATENATE($C$30,"-",TEXT(B2,"00"))</f>
        <v>SB-12-01</v>
      </c>
      <c r="B2" s="4">
        <v>1</v>
      </c>
      <c r="C2" s="5">
        <f>+D2</f>
        <v>46186</v>
      </c>
      <c r="D2" s="6">
        <f>VLOOKUP($B2,SCHEDULE!$A$2:$M$26,3,FALSE)</f>
        <v>46186</v>
      </c>
      <c r="E2" s="7">
        <f>VLOOKUP($B2,SCHEDULE!$A$2:$M$26,4,FALSE)</f>
        <v>0.5</v>
      </c>
      <c r="F2" s="7"/>
      <c r="G2" s="8" t="str">
        <f>VLOOKUP($B2,SCHEDULE!$A$2:$M$26,6,FALSE)</f>
        <v>DSBP</v>
      </c>
      <c r="H2" s="9">
        <f>VLOOKUP($B2,SCHEDULE!$A$2:$M$26,7,FALSE)</f>
        <v>0</v>
      </c>
      <c r="I2" s="9" t="str">
        <f>VLOOKUP($B2,SCHEDULE!$A$2:$M$26,8,FALSE)</f>
        <v>vs</v>
      </c>
      <c r="J2" s="8" t="str">
        <f>VLOOKUP($B2,SCHEDULE!$A$2:$M$26,9,FALSE)</f>
        <v>Lower Perk</v>
      </c>
      <c r="K2" s="9">
        <f>VLOOKUP($B2,SCHEDULE!$A$2:$M$26,10,FALSE)</f>
        <v>0</v>
      </c>
      <c r="L2" s="9" t="str">
        <f>VLOOKUP($B2,SCHEDULE!$A$2:$M$26,12,FALSE)</f>
        <v>EX-Manor Park</v>
      </c>
      <c r="M2" s="57" t="str">
        <f>VLOOKUP($B2,SCHEDULE!$A$2:$M$26,13,FALSE)</f>
        <v>D27 Umpires (assigned by Gary Hall)</v>
      </c>
      <c r="N2" s="33" t="s">
        <v>61</v>
      </c>
      <c r="O2" s="9" t="s">
        <v>32</v>
      </c>
      <c r="P2" s="9" t="str">
        <f t="shared" ref="P2:P12" si="1">+$C$30</f>
        <v>SB-12</v>
      </c>
      <c r="Q2" s="9"/>
      <c r="R2" s="9"/>
    </row>
    <row r="3" spans="1:18" ht="29.15" x14ac:dyDescent="0.4">
      <c r="A3" s="4" t="str">
        <f t="shared" si="0"/>
        <v>SB-12-02</v>
      </c>
      <c r="B3" s="4">
        <v>2</v>
      </c>
      <c r="C3" s="5">
        <f t="shared" ref="C3:C12" si="2">+D3</f>
        <v>46186</v>
      </c>
      <c r="D3" s="6">
        <f>VLOOKUP($B3,SCHEDULE!$A$2:$M$26,3,FALSE)</f>
        <v>46186</v>
      </c>
      <c r="E3" s="7">
        <f>VLOOKUP($B3,SCHEDULE!$A$2:$M$26,4,FALSE)</f>
        <v>0.41666666666666669</v>
      </c>
      <c r="F3" s="7"/>
      <c r="G3" s="8" t="str">
        <f>VLOOKUP($B3,SCHEDULE!$A$2:$M$26,6,FALSE)</f>
        <v>Exton</v>
      </c>
      <c r="H3" s="9">
        <f>VLOOKUP($B3,SCHEDULE!$A$2:$M$26,7,FALSE)</f>
        <v>0</v>
      </c>
      <c r="I3" s="9" t="str">
        <f>VLOOKUP($B3,SCHEDULE!$A$2:$M$26,8,FALSE)</f>
        <v>vs</v>
      </c>
      <c r="J3" s="8" t="str">
        <f>VLOOKUP($B3,SCHEDULE!$A$2:$M$26,9,FALSE)</f>
        <v>Radnor/Wayne</v>
      </c>
      <c r="K3" s="9">
        <f>VLOOKUP($B3,SCHEDULE!$A$2:$M$26,10,FALSE)</f>
        <v>0</v>
      </c>
      <c r="L3" s="9" t="str">
        <f>VLOOKUP($B3,SCHEDULE!$A$2:$M$26,12,FALSE)</f>
        <v>EX-Manor Park</v>
      </c>
      <c r="M3" s="57" t="str">
        <f>VLOOKUP($B3,SCHEDULE!$A$2:$M$26,13,FALSE)</f>
        <v>D27 Umpires (assigned by Gary Hall)</v>
      </c>
      <c r="N3" s="33" t="s">
        <v>61</v>
      </c>
      <c r="O3" s="9" t="s">
        <v>32</v>
      </c>
      <c r="P3" s="9" t="str">
        <f t="shared" si="1"/>
        <v>SB-12</v>
      </c>
      <c r="Q3" s="9"/>
      <c r="R3" s="9"/>
    </row>
    <row r="4" spans="1:18" ht="29.15" x14ac:dyDescent="0.4">
      <c r="A4" s="4" t="str">
        <f t="shared" si="0"/>
        <v>SB-12-03</v>
      </c>
      <c r="B4" s="4">
        <v>3</v>
      </c>
      <c r="C4" s="5">
        <f t="shared" si="2"/>
        <v>46189</v>
      </c>
      <c r="D4" s="6">
        <f>VLOOKUP($B4,SCHEDULE!$A$2:$M$26,3,FALSE)</f>
        <v>46189</v>
      </c>
      <c r="E4" s="7">
        <f>VLOOKUP($B4,SCHEDULE!$A$2:$M$26,4,FALSE)</f>
        <v>0.75</v>
      </c>
      <c r="F4" s="7"/>
      <c r="G4" s="8" t="str">
        <f>VLOOKUP($B4,SCHEDULE!$A$2:$M$26,6,FALSE)</f>
        <v>Chester Valley</v>
      </c>
      <c r="H4" s="9">
        <f>VLOOKUP($B4,SCHEDULE!$A$2:$M$26,7,FALSE)</f>
        <v>0</v>
      </c>
      <c r="I4" s="9" t="str">
        <f>VLOOKUP($B4,SCHEDULE!$A$2:$M$26,8,FALSE)</f>
        <v>vs</v>
      </c>
      <c r="J4" s="8" t="str">
        <f ca="1">VLOOKUP($B4,SCHEDULE!$A$2:$M$26,9,FALSE)</f>
        <v>WG-1</v>
      </c>
      <c r="K4" s="9">
        <f>VLOOKUP($B4,SCHEDULE!$A$2:$M$26,10,FALSE)</f>
        <v>0</v>
      </c>
      <c r="L4" s="9" t="str">
        <f>VLOOKUP($B4,SCHEDULE!$A$2:$M$26,12,FALSE)</f>
        <v>CV-Mill Rd Park</v>
      </c>
      <c r="M4" s="57" t="str">
        <f>VLOOKUP($B4,SCHEDULE!$A$2:$M$26,13,FALSE)</f>
        <v>D27 Umpires (assigned by Gary Hall)</v>
      </c>
      <c r="N4" s="33" t="s">
        <v>61</v>
      </c>
      <c r="O4" s="9" t="s">
        <v>32</v>
      </c>
      <c r="P4" s="9" t="str">
        <f t="shared" si="1"/>
        <v>SB-12</v>
      </c>
      <c r="Q4" s="9"/>
      <c r="R4" s="9"/>
    </row>
    <row r="5" spans="1:18" ht="29.15" x14ac:dyDescent="0.4">
      <c r="A5" s="4" t="str">
        <f t="shared" si="0"/>
        <v>SB-12-04</v>
      </c>
      <c r="B5" s="4">
        <v>4</v>
      </c>
      <c r="C5" s="5">
        <f t="shared" si="2"/>
        <v>46189</v>
      </c>
      <c r="D5" s="6">
        <f>VLOOKUP($B5,SCHEDULE!$A$2:$M$26,3,FALSE)</f>
        <v>46189</v>
      </c>
      <c r="E5" s="7">
        <f>VLOOKUP($B5,SCHEDULE!$A$2:$M$26,4,FALSE)</f>
        <v>0.75</v>
      </c>
      <c r="F5" s="7"/>
      <c r="G5" s="8" t="str">
        <f ca="1">VLOOKUP($B5,SCHEDULE!$A$2:$M$26,6,FALSE)</f>
        <v>WG-2</v>
      </c>
      <c r="H5" s="9">
        <f>VLOOKUP($B5,SCHEDULE!$A$2:$M$26,7,FALSE)</f>
        <v>0</v>
      </c>
      <c r="I5" s="9" t="str">
        <f>VLOOKUP($B5,SCHEDULE!$A$2:$M$26,8,FALSE)</f>
        <v>vs</v>
      </c>
      <c r="J5" s="11" t="str">
        <f>VLOOKUP($B5,SCHEDULE!$A$2:$M$26,9,FALSE)</f>
        <v>Lower Merion</v>
      </c>
      <c r="K5" s="9">
        <f>VLOOKUP($B5,SCHEDULE!$A$2:$M$26,10,FALSE)</f>
        <v>0</v>
      </c>
      <c r="L5" s="9" t="str">
        <f>VLOOKUP($B5,SCHEDULE!$A$2:$M$26,12,FALSE)</f>
        <v>LM-S. Ardmore Park</v>
      </c>
      <c r="M5" s="57" t="str">
        <f>VLOOKUP($B5,SCHEDULE!$A$2:$M$26,13,FALSE)</f>
        <v>D27 Umpires (assigned by Gary Hall)</v>
      </c>
      <c r="N5" s="33" t="s">
        <v>61</v>
      </c>
      <c r="O5" s="9" t="s">
        <v>32</v>
      </c>
      <c r="P5" s="9" t="str">
        <f t="shared" si="1"/>
        <v>SB-12</v>
      </c>
      <c r="Q5" s="9"/>
      <c r="R5" s="9"/>
    </row>
    <row r="6" spans="1:18" ht="29.15" x14ac:dyDescent="0.4">
      <c r="A6" s="4" t="str">
        <f t="shared" si="0"/>
        <v>SB-12-05</v>
      </c>
      <c r="B6" s="4">
        <v>5</v>
      </c>
      <c r="C6" s="5">
        <f t="shared" si="2"/>
        <v>46191</v>
      </c>
      <c r="D6" s="6">
        <f>VLOOKUP($B6,SCHEDULE!$A$2:$M$26,3,FALSE)</f>
        <v>46191</v>
      </c>
      <c r="E6" s="7">
        <f>VLOOKUP($B6,SCHEDULE!$A$2:$M$26,4,FALSE)</f>
        <v>0.75</v>
      </c>
      <c r="F6" s="7"/>
      <c r="G6" s="11" t="str">
        <f ca="1">VLOOKUP($B6,SCHEDULE!$A$2:$M$26,6,FALSE)</f>
        <v>LG-1</v>
      </c>
      <c r="H6" s="9">
        <f>VLOOKUP($B6,SCHEDULE!$A$2:$M$26,7,FALSE)</f>
        <v>0</v>
      </c>
      <c r="I6" s="9" t="str">
        <f>VLOOKUP($B6,SCHEDULE!$A$2:$M$26,8,FALSE)</f>
        <v>vs</v>
      </c>
      <c r="J6" s="11" t="str">
        <f ca="1">VLOOKUP($B6,SCHEDULE!$A$2:$M$26,9,FALSE)</f>
        <v>LG-4</v>
      </c>
      <c r="K6" s="9">
        <f>VLOOKUP($B6,SCHEDULE!$A$2:$M$26,10,FALSE)</f>
        <v>0</v>
      </c>
      <c r="L6" s="9" t="str">
        <f>VLOOKUP($B6,SCHEDULE!$A$2:$M$26,12,FALSE)</f>
        <v>R/W-Tunnell Park</v>
      </c>
      <c r="M6" s="57" t="str">
        <f>VLOOKUP($B6,SCHEDULE!$A$2:$M$26,13,FALSE)</f>
        <v>D27 Umpires (assigned by Gary Hall)</v>
      </c>
      <c r="N6" s="33" t="s">
        <v>61</v>
      </c>
      <c r="O6" s="9" t="s">
        <v>32</v>
      </c>
      <c r="P6" s="9" t="str">
        <f t="shared" si="1"/>
        <v>SB-12</v>
      </c>
      <c r="Q6" s="9"/>
      <c r="R6" s="9"/>
    </row>
    <row r="7" spans="1:18" ht="29.15" x14ac:dyDescent="0.4">
      <c r="A7" s="4" t="str">
        <f t="shared" si="0"/>
        <v>SB-12-06</v>
      </c>
      <c r="B7" s="4">
        <v>6</v>
      </c>
      <c r="C7" s="5">
        <f t="shared" si="2"/>
        <v>46191</v>
      </c>
      <c r="D7" s="6">
        <f>VLOOKUP($B7,SCHEDULE!$A$2:$M$26,3,FALSE)</f>
        <v>46191</v>
      </c>
      <c r="E7" s="7">
        <f>VLOOKUP($B7,SCHEDULE!$A$2:$M$26,4,FALSE)</f>
        <v>0.75</v>
      </c>
      <c r="F7" s="7"/>
      <c r="G7" s="11" t="str">
        <f ca="1">VLOOKUP($B7,SCHEDULE!$A$2:$M$26,6,FALSE)</f>
        <v>LG-2</v>
      </c>
      <c r="H7" s="9">
        <f>VLOOKUP($B7,SCHEDULE!$A$2:$M$26,7,FALSE)</f>
        <v>0</v>
      </c>
      <c r="I7" s="9" t="str">
        <f>VLOOKUP($B7,SCHEDULE!$A$2:$M$26,8,FALSE)</f>
        <v>vs</v>
      </c>
      <c r="J7" s="11" t="str">
        <f ca="1">VLOOKUP($B7,SCHEDULE!$A$2:$M$26,9,FALSE)</f>
        <v>LG-3</v>
      </c>
      <c r="K7" s="9">
        <f>VLOOKUP($B7,SCHEDULE!$A$2:$M$26,10,FALSE)</f>
        <v>0</v>
      </c>
      <c r="L7" s="9" t="str">
        <f>VLOOKUP($B7,SCHEDULE!$A$2:$M$26,12,FALSE)</f>
        <v>CV-Mill Rd Park</v>
      </c>
      <c r="M7" s="57" t="str">
        <f>VLOOKUP($B7,SCHEDULE!$A$2:$M$26,13,FALSE)</f>
        <v>D27 Umpires (assigned by Gary Hall)</v>
      </c>
      <c r="N7" s="33" t="s">
        <v>61</v>
      </c>
      <c r="O7" s="9" t="s">
        <v>32</v>
      </c>
      <c r="P7" s="9" t="str">
        <f t="shared" si="1"/>
        <v>SB-12</v>
      </c>
      <c r="Q7" s="9"/>
      <c r="R7" s="9"/>
    </row>
    <row r="8" spans="1:18" ht="29.15" x14ac:dyDescent="0.4">
      <c r="A8" s="4" t="str">
        <f t="shared" si="0"/>
        <v>SB-12-07</v>
      </c>
      <c r="B8" s="4">
        <v>7</v>
      </c>
      <c r="C8" s="5">
        <f t="shared" si="2"/>
        <v>46193</v>
      </c>
      <c r="D8" s="6">
        <f>VLOOKUP($B8,SCHEDULE!$A$2:$M$26,3,FALSE)</f>
        <v>46193</v>
      </c>
      <c r="E8" s="7">
        <f>VLOOKUP($B8,SCHEDULE!$A$2:$M$26,4,FALSE)</f>
        <v>0.375</v>
      </c>
      <c r="F8" s="7"/>
      <c r="G8" s="11" t="str">
        <f ca="1">VLOOKUP($B8,SCHEDULE!$A$2:$M$26,6,FALSE)</f>
        <v>WG-3</v>
      </c>
      <c r="H8" s="9">
        <f>VLOOKUP($B8,SCHEDULE!$A$2:$M$26,7,FALSE)</f>
        <v>0</v>
      </c>
      <c r="I8" s="9" t="str">
        <f>VLOOKUP($B8,SCHEDULE!$A$2:$M$26,8,FALSE)</f>
        <v>vs</v>
      </c>
      <c r="J8" s="11" t="str">
        <f ca="1">VLOOKUP($B8,SCHEDULE!$A$2:$M$26,9,FALSE)</f>
        <v>WG-4</v>
      </c>
      <c r="K8" s="9">
        <f>VLOOKUP($B8,SCHEDULE!$A$2:$M$26,10,FALSE)</f>
        <v>0</v>
      </c>
      <c r="L8" s="9" t="str">
        <f>VLOOKUP($B8,SCHEDULE!$A$2:$M$26,12,FALSE)</f>
        <v>LP-Palmer Park</v>
      </c>
      <c r="M8" s="57" t="str">
        <f>VLOOKUP($B8,SCHEDULE!$A$2:$M$26,13,FALSE)</f>
        <v>D27 Umpires (assigned by Gary Hall)</v>
      </c>
      <c r="N8" s="33" t="s">
        <v>61</v>
      </c>
      <c r="O8" s="9" t="s">
        <v>32</v>
      </c>
      <c r="P8" s="9" t="str">
        <f t="shared" si="1"/>
        <v>SB-12</v>
      </c>
      <c r="Q8" s="9"/>
      <c r="R8" s="9"/>
    </row>
    <row r="9" spans="1:18" ht="29.15" x14ac:dyDescent="0.4">
      <c r="A9" s="4" t="str">
        <f t="shared" si="0"/>
        <v>SB-12-08</v>
      </c>
      <c r="B9" s="4">
        <v>8</v>
      </c>
      <c r="C9" s="5">
        <f t="shared" si="2"/>
        <v>46193</v>
      </c>
      <c r="D9" s="6">
        <f>VLOOKUP($B9,SCHEDULE!$A$2:$M$26,3,FALSE)</f>
        <v>46193</v>
      </c>
      <c r="E9" s="7">
        <f>VLOOKUP($B9,SCHEDULE!$A$2:$M$26,4,FALSE)</f>
        <v>0.45833333333333331</v>
      </c>
      <c r="F9" s="7"/>
      <c r="G9" s="11" t="str">
        <f ca="1">VLOOKUP($B9,SCHEDULE!$A$2:$M$26,6,FALSE)</f>
        <v>WG-5</v>
      </c>
      <c r="H9" s="9">
        <f>VLOOKUP($B9,SCHEDULE!$A$2:$M$26,7,FALSE)</f>
        <v>0</v>
      </c>
      <c r="I9" s="9" t="str">
        <f>VLOOKUP($B9,SCHEDULE!$A$2:$M$26,8,FALSE)</f>
        <v>vs</v>
      </c>
      <c r="J9" s="11" t="str">
        <f ca="1">VLOOKUP($B9,SCHEDULE!$A$2:$M$26,9,FALSE)</f>
        <v>WG-6</v>
      </c>
      <c r="K9" s="9">
        <f>VLOOKUP($B9,SCHEDULE!$A$2:$M$26,10,FALSE)</f>
        <v>0</v>
      </c>
      <c r="L9" s="9" t="str">
        <f>VLOOKUP($B9,SCHEDULE!$A$2:$M$26,12,FALSE)</f>
        <v>LP-Palmer Park</v>
      </c>
      <c r="M9" s="57" t="str">
        <f>VLOOKUP($B9,SCHEDULE!$A$2:$M$26,13,FALSE)</f>
        <v>D27 Umpires (assigned by Gary Hall)</v>
      </c>
      <c r="N9" s="33" t="s">
        <v>61</v>
      </c>
      <c r="O9" s="9" t="s">
        <v>32</v>
      </c>
      <c r="P9" s="9" t="str">
        <f t="shared" si="1"/>
        <v>SB-12</v>
      </c>
      <c r="Q9" s="9"/>
      <c r="R9" s="9"/>
    </row>
    <row r="10" spans="1:18" ht="29.15" x14ac:dyDescent="0.4">
      <c r="A10" s="4" t="str">
        <f t="shared" si="0"/>
        <v>SB-12-09</v>
      </c>
      <c r="B10" s="4">
        <v>9</v>
      </c>
      <c r="C10" s="5">
        <f t="shared" si="2"/>
        <v>46195</v>
      </c>
      <c r="D10" s="6">
        <f>VLOOKUP($B10,SCHEDULE!$A$2:$M$26,3,FALSE)</f>
        <v>46195</v>
      </c>
      <c r="E10" s="7">
        <f>VLOOKUP($B10,SCHEDULE!$A$2:$M$26,4,FALSE)</f>
        <v>0.75</v>
      </c>
      <c r="F10" s="7"/>
      <c r="G10" s="11" t="str">
        <f ca="1">VLOOKUP($B10,SCHEDULE!$A$2:$M$26,6,FALSE)</f>
        <v>WG-8</v>
      </c>
      <c r="H10" s="9">
        <f>VLOOKUP($B10,SCHEDULE!$A$2:$M$26,7,FALSE)</f>
        <v>0</v>
      </c>
      <c r="I10" s="9" t="str">
        <f>VLOOKUP($B10,SCHEDULE!$A$2:$M$26,8,FALSE)</f>
        <v>vs</v>
      </c>
      <c r="J10" s="11" t="str">
        <f ca="1">VLOOKUP($B10,SCHEDULE!$A$2:$M$26,9,FALSE)</f>
        <v>LG-7</v>
      </c>
      <c r="K10" s="9">
        <f>VLOOKUP($B10,SCHEDULE!$A$2:$M$26,10,FALSE)</f>
        <v>0</v>
      </c>
      <c r="L10" s="9" t="str">
        <f>VLOOKUP($B10,SCHEDULE!$A$2:$M$26,12,FALSE)</f>
        <v>R/W-Tunnell Park</v>
      </c>
      <c r="M10" s="57" t="str">
        <f>VLOOKUP($B10,SCHEDULE!$A$2:$M$26,13,FALSE)</f>
        <v>D27 Umpires (assigned by Gary Hall)</v>
      </c>
      <c r="N10" s="33" t="s">
        <v>61</v>
      </c>
      <c r="O10" s="9" t="s">
        <v>32</v>
      </c>
      <c r="P10" s="9" t="str">
        <f t="shared" si="1"/>
        <v>SB-12</v>
      </c>
      <c r="Q10" s="9"/>
      <c r="R10" s="9"/>
    </row>
    <row r="11" spans="1:18" ht="29.15" x14ac:dyDescent="0.4">
      <c r="A11" s="4" t="str">
        <f t="shared" si="0"/>
        <v>SB-12-10</v>
      </c>
      <c r="B11" s="4">
        <v>10</v>
      </c>
      <c r="C11" s="12">
        <f t="shared" si="2"/>
        <v>46197</v>
      </c>
      <c r="D11" s="13">
        <f>VLOOKUP($B11,SCHEDULE!$A$2:$M$26,3,FALSE)</f>
        <v>46197</v>
      </c>
      <c r="E11" s="14">
        <f>VLOOKUP($B11,SCHEDULE!$A$2:$M$26,4,FALSE)</f>
        <v>0.75</v>
      </c>
      <c r="F11" s="7"/>
      <c r="G11" s="11" t="str">
        <f ca="1">VLOOKUP($B11,SCHEDULE!$A$2:$M$26,6,FALSE)</f>
        <v>WG-8</v>
      </c>
      <c r="H11" s="9">
        <f>VLOOKUP($B11,SCHEDULE!$A$2:$M$26,7,FALSE)</f>
        <v>0</v>
      </c>
      <c r="I11" s="9" t="str">
        <f>VLOOKUP($B11,SCHEDULE!$A$2:$M$26,8,FALSE)</f>
        <v>vs</v>
      </c>
      <c r="J11" s="11" t="str">
        <f ca="1">VLOOKUP($B11,SCHEDULE!$A$2:$M$26,9,FALSE)</f>
        <v>WG-9</v>
      </c>
      <c r="K11" s="9">
        <f>VLOOKUP($B11,SCHEDULE!$A$2:$M$26,10,FALSE)</f>
        <v>0</v>
      </c>
      <c r="L11" s="9" t="str">
        <f>VLOOKUP($B11,SCHEDULE!$A$2:$M$26,12,FALSE)</f>
        <v>BP-Field of Dreams</v>
      </c>
      <c r="M11" s="57" t="str">
        <f>VLOOKUP($B11,SCHEDULE!$A$2:$M$26,13,FALSE)</f>
        <v>D27 Umpires (assigned by Gary Hall)</v>
      </c>
      <c r="N11" s="33" t="s">
        <v>61</v>
      </c>
      <c r="O11" s="9" t="s">
        <v>32</v>
      </c>
      <c r="P11" s="9" t="str">
        <f t="shared" si="1"/>
        <v>SB-12</v>
      </c>
      <c r="Q11" s="9" t="s">
        <v>30</v>
      </c>
      <c r="R11" s="9"/>
    </row>
    <row r="12" spans="1:18" ht="29.15" x14ac:dyDescent="0.4">
      <c r="A12" s="4" t="str">
        <f t="shared" si="0"/>
        <v>SB-12-11</v>
      </c>
      <c r="B12" s="4">
        <v>11</v>
      </c>
      <c r="C12" s="12">
        <f t="shared" si="2"/>
        <v>46198</v>
      </c>
      <c r="D12" s="13">
        <f>VLOOKUP($B12,SCHEDULE!$A$2:$M$26,3,FALSE)</f>
        <v>46198</v>
      </c>
      <c r="E12" s="14">
        <f>VLOOKUP($B12,SCHEDULE!$A$2:$M$26,4,FALSE)</f>
        <v>0.75</v>
      </c>
      <c r="F12" s="7"/>
      <c r="G12" s="11" t="str">
        <f ca="1">VLOOKUP($B12,SCHEDULE!$A$2:$M$26,6,FALSE)</f>
        <v>WG-10</v>
      </c>
      <c r="H12" s="9">
        <f>VLOOKUP($B12,SCHEDULE!$A$2:$M$26,7,FALSE)</f>
        <v>0</v>
      </c>
      <c r="I12" s="9" t="str">
        <f>VLOOKUP($B12,SCHEDULE!$A$2:$M$26,8,FALSE)</f>
        <v>vs</v>
      </c>
      <c r="J12" s="11" t="str">
        <f ca="1">VLOOKUP($B12,SCHEDULE!$A$2:$M$26,9,FALSE)</f>
        <v>If Necessary</v>
      </c>
      <c r="K12" s="9">
        <f>VLOOKUP($B12,SCHEDULE!$A$2:$M$26,10,FALSE)</f>
        <v>0</v>
      </c>
      <c r="L12" s="9" t="str">
        <f>VLOOKUP($B12,SCHEDULE!$A$2:$M$26,12,FALSE)</f>
        <v>BP-Field of Dreams</v>
      </c>
      <c r="M12" s="57" t="str">
        <f>VLOOKUP($B12,SCHEDULE!$A$2:$M$26,13,FALSE)</f>
        <v>D27 Umpires (assigned by Gary Hall)</v>
      </c>
      <c r="N12" s="33" t="s">
        <v>61</v>
      </c>
      <c r="O12" s="9" t="s">
        <v>32</v>
      </c>
      <c r="P12" s="9" t="str">
        <f t="shared" si="1"/>
        <v>SB-12</v>
      </c>
      <c r="Q12" s="9" t="s">
        <v>33</v>
      </c>
      <c r="R12" s="9"/>
    </row>
    <row r="16" spans="1:18" x14ac:dyDescent="0.4">
      <c r="B16" s="15" t="s">
        <v>7</v>
      </c>
      <c r="C16" s="15" t="s">
        <v>8</v>
      </c>
      <c r="D16" s="15" t="s">
        <v>34</v>
      </c>
      <c r="E16" s="15" t="s">
        <v>35</v>
      </c>
      <c r="F16" s="15" t="s">
        <v>36</v>
      </c>
      <c r="G16" s="15"/>
      <c r="H16" s="15" t="s">
        <v>37</v>
      </c>
      <c r="I16" s="15"/>
      <c r="J16" s="15" t="s">
        <v>38</v>
      </c>
      <c r="K16" s="15" t="s">
        <v>39</v>
      </c>
      <c r="L16" s="15" t="s">
        <v>40</v>
      </c>
      <c r="M16" s="15" t="str">
        <f t="shared" ref="M16:M17" si="3">+C16</f>
        <v>Team</v>
      </c>
      <c r="N16" s="15" t="s">
        <v>41</v>
      </c>
      <c r="O16" s="15" t="str">
        <f t="shared" ref="O16:P17" si="4">+D16</f>
        <v>Manager</v>
      </c>
      <c r="P16" s="15" t="str">
        <f t="shared" si="4"/>
        <v>Email Address</v>
      </c>
      <c r="Q16" s="15" t="str">
        <f>+J16</f>
        <v>Park</v>
      </c>
    </row>
    <row r="17" spans="2:17" x14ac:dyDescent="0.4">
      <c r="B17" s="16">
        <v>1</v>
      </c>
      <c r="C17" s="17" t="s">
        <v>43</v>
      </c>
      <c r="D17" s="17"/>
      <c r="E17" s="17"/>
      <c r="F17" s="19"/>
      <c r="G17" s="19"/>
      <c r="H17" s="19" t="s">
        <v>44</v>
      </c>
      <c r="I17" s="19"/>
      <c r="J17" s="17" t="s">
        <v>55</v>
      </c>
      <c r="K17" s="20">
        <v>10.039999999999999</v>
      </c>
      <c r="L17" s="16">
        <f t="shared" ref="L17:L22" si="5">RANK($K17,K$17:K$23,1)</f>
        <v>5</v>
      </c>
      <c r="M17" s="21" t="str">
        <f t="shared" si="3"/>
        <v>Chester Valley</v>
      </c>
      <c r="N17" s="22" t="str">
        <f>_xlfn.CONCAT($H17,$C$29)</f>
        <v>CV-D27-SB12</v>
      </c>
      <c r="O17" s="16">
        <f t="shared" si="4"/>
        <v>0</v>
      </c>
      <c r="P17" s="16">
        <f t="shared" si="4"/>
        <v>0</v>
      </c>
      <c r="Q17" s="22" t="str">
        <f t="shared" ref="Q17" si="6">IF(J17&lt;&gt;"",J17,"")</f>
        <v>CV-Mill Rd Park</v>
      </c>
    </row>
    <row r="18" spans="2:17" x14ac:dyDescent="0.4">
      <c r="B18" s="16">
        <f t="shared" ref="B18:B22" si="7">+B17+1</f>
        <v>2</v>
      </c>
      <c r="C18" s="17" t="s">
        <v>54</v>
      </c>
      <c r="D18" s="17"/>
      <c r="E18" s="18"/>
      <c r="F18" s="19"/>
      <c r="G18" s="19"/>
      <c r="H18" s="19" t="s">
        <v>54</v>
      </c>
      <c r="I18" s="19"/>
      <c r="J18" s="17" t="s">
        <v>42</v>
      </c>
      <c r="K18" s="20">
        <v>3.11</v>
      </c>
      <c r="L18" s="16">
        <f t="shared" si="5"/>
        <v>1</v>
      </c>
      <c r="M18" s="21" t="str">
        <f t="shared" ref="M18:M22" si="8">+C18</f>
        <v>DSBP</v>
      </c>
      <c r="N18" s="22" t="str">
        <f t="shared" ref="N18:N22" si="9">_xlfn.CONCAT($H18,$C$29)</f>
        <v>DSBP-D27-SB12</v>
      </c>
      <c r="O18" s="16">
        <f t="shared" ref="O18:O22" si="10">+D18</f>
        <v>0</v>
      </c>
      <c r="P18" s="16">
        <f t="shared" ref="P18:P22" si="11">+E18</f>
        <v>0</v>
      </c>
      <c r="Q18" s="22" t="str">
        <f t="shared" ref="Q18:Q22" si="12">IF(J18&lt;&gt;"",J18,"")</f>
        <v>BP-Field of Dreams</v>
      </c>
    </row>
    <row r="19" spans="2:17" x14ac:dyDescent="0.4">
      <c r="B19" s="16">
        <f t="shared" si="7"/>
        <v>3</v>
      </c>
      <c r="C19" s="17" t="s">
        <v>25</v>
      </c>
      <c r="D19" s="17"/>
      <c r="E19" s="18"/>
      <c r="F19" s="19"/>
      <c r="G19" s="19"/>
      <c r="H19" s="19" t="s">
        <v>58</v>
      </c>
      <c r="I19" s="19"/>
      <c r="J19" s="17" t="s">
        <v>56</v>
      </c>
      <c r="K19" s="20">
        <v>7.06</v>
      </c>
      <c r="L19" s="16">
        <f t="shared" si="5"/>
        <v>3</v>
      </c>
      <c r="M19" s="21" t="str">
        <f t="shared" si="8"/>
        <v>Exton</v>
      </c>
      <c r="N19" s="22" t="str">
        <f t="shared" si="9"/>
        <v>EX-D27-SB12</v>
      </c>
      <c r="O19" s="16">
        <f t="shared" si="10"/>
        <v>0</v>
      </c>
      <c r="P19" s="16">
        <f t="shared" si="11"/>
        <v>0</v>
      </c>
      <c r="Q19" s="22" t="str">
        <f t="shared" si="12"/>
        <v>EX-Manor Park</v>
      </c>
    </row>
    <row r="20" spans="2:17" x14ac:dyDescent="0.4">
      <c r="B20" s="16">
        <f t="shared" si="7"/>
        <v>4</v>
      </c>
      <c r="C20" s="17" t="s">
        <v>45</v>
      </c>
      <c r="D20" s="17"/>
      <c r="E20" s="18"/>
      <c r="F20" s="19"/>
      <c r="G20" s="19"/>
      <c r="H20" s="19" t="s">
        <v>46</v>
      </c>
      <c r="I20" s="19"/>
      <c r="J20" s="17" t="s">
        <v>67</v>
      </c>
      <c r="K20" s="20">
        <v>12.07</v>
      </c>
      <c r="L20" s="16">
        <f t="shared" si="5"/>
        <v>6</v>
      </c>
      <c r="M20" s="21" t="str">
        <f t="shared" si="8"/>
        <v>Lower Merion</v>
      </c>
      <c r="N20" s="22" t="str">
        <f t="shared" si="9"/>
        <v>LM-D27-SB12</v>
      </c>
      <c r="O20" s="16">
        <f t="shared" si="10"/>
        <v>0</v>
      </c>
      <c r="P20" s="16">
        <f t="shared" si="11"/>
        <v>0</v>
      </c>
      <c r="Q20" s="22" t="str">
        <f t="shared" si="12"/>
        <v>LM-S. Ardmore Park</v>
      </c>
    </row>
    <row r="21" spans="2:17" x14ac:dyDescent="0.4">
      <c r="B21" s="16">
        <f t="shared" si="7"/>
        <v>5</v>
      </c>
      <c r="C21" s="17" t="s">
        <v>47</v>
      </c>
      <c r="D21" s="17"/>
      <c r="E21" s="17"/>
      <c r="F21" s="19"/>
      <c r="G21" s="19"/>
      <c r="H21" s="19" t="s">
        <v>48</v>
      </c>
      <c r="I21" s="19"/>
      <c r="J21" s="17" t="s">
        <v>49</v>
      </c>
      <c r="K21" s="20">
        <v>6.02</v>
      </c>
      <c r="L21" s="16">
        <f t="shared" si="5"/>
        <v>2</v>
      </c>
      <c r="M21" s="21" t="str">
        <f t="shared" si="8"/>
        <v>Lower Perk</v>
      </c>
      <c r="N21" s="22" t="str">
        <f t="shared" si="9"/>
        <v>LP-D27-SB12</v>
      </c>
      <c r="O21" s="16">
        <f t="shared" si="10"/>
        <v>0</v>
      </c>
      <c r="P21" s="16">
        <f t="shared" si="11"/>
        <v>0</v>
      </c>
      <c r="Q21" s="22" t="str">
        <f t="shared" si="12"/>
        <v>LP-Palmer Park</v>
      </c>
    </row>
    <row r="22" spans="2:17" x14ac:dyDescent="0.4">
      <c r="B22" s="16">
        <f t="shared" si="7"/>
        <v>6</v>
      </c>
      <c r="C22" s="17" t="s">
        <v>50</v>
      </c>
      <c r="D22" s="17"/>
      <c r="E22" s="18"/>
      <c r="F22" s="19"/>
      <c r="G22" s="19"/>
      <c r="H22" s="19" t="s">
        <v>51</v>
      </c>
      <c r="I22" s="19"/>
      <c r="J22" s="17" t="s">
        <v>57</v>
      </c>
      <c r="K22" s="20">
        <v>8.09</v>
      </c>
      <c r="L22" s="16">
        <f t="shared" si="5"/>
        <v>4</v>
      </c>
      <c r="M22" s="21" t="str">
        <f t="shared" si="8"/>
        <v>Radnor/Wayne</v>
      </c>
      <c r="N22" s="22" t="str">
        <f t="shared" si="9"/>
        <v>RW-D27-SB12</v>
      </c>
      <c r="O22" s="16">
        <f t="shared" si="10"/>
        <v>0</v>
      </c>
      <c r="P22" s="16">
        <f t="shared" si="11"/>
        <v>0</v>
      </c>
      <c r="Q22" s="22" t="str">
        <f t="shared" si="12"/>
        <v>R/W-Tunnell Park</v>
      </c>
    </row>
    <row r="23" spans="2:17" x14ac:dyDescent="0.4">
      <c r="B23" s="9"/>
      <c r="C23" s="23"/>
      <c r="D23" s="23"/>
      <c r="E23" s="23"/>
      <c r="F23" s="9"/>
      <c r="G23" s="9"/>
      <c r="H23" s="9"/>
      <c r="I23" s="9"/>
      <c r="J23" s="23"/>
      <c r="K23" s="24"/>
      <c r="L23" s="9"/>
      <c r="M23" s="25"/>
      <c r="N23" s="25"/>
      <c r="O23" s="4"/>
      <c r="P23" s="4"/>
      <c r="Q23" s="25"/>
    </row>
    <row r="24" spans="2:17" x14ac:dyDescent="0.4">
      <c r="B24" s="9"/>
      <c r="C24" s="23"/>
      <c r="D24" s="23"/>
      <c r="E24" s="23"/>
      <c r="F24" s="9"/>
      <c r="G24" s="9"/>
      <c r="H24" s="9"/>
      <c r="I24" s="9"/>
      <c r="J24" s="23"/>
      <c r="K24" s="24"/>
      <c r="L24" s="9"/>
      <c r="M24" s="25"/>
      <c r="N24" s="25"/>
      <c r="O24" s="4"/>
      <c r="P24" s="4"/>
      <c r="Q24" s="25"/>
    </row>
    <row r="25" spans="2:17" x14ac:dyDescent="0.4">
      <c r="B25" s="9"/>
      <c r="C25" s="23"/>
      <c r="D25" s="23"/>
      <c r="E25" s="23"/>
      <c r="F25" s="9"/>
      <c r="G25" s="9"/>
      <c r="H25" s="9"/>
      <c r="I25" s="9"/>
      <c r="J25" s="23"/>
      <c r="K25" s="24"/>
      <c r="L25" s="9"/>
      <c r="M25" s="25"/>
      <c r="N25" s="25"/>
      <c r="O25" s="4"/>
      <c r="P25" s="4"/>
      <c r="Q25" s="25"/>
    </row>
    <row r="26" spans="2:17" x14ac:dyDescent="0.4">
      <c r="B26" s="9"/>
      <c r="C26" s="23"/>
      <c r="D26" s="23"/>
      <c r="E26" s="23"/>
      <c r="F26" s="9"/>
      <c r="G26" s="9"/>
      <c r="H26" s="9"/>
      <c r="I26" s="9"/>
      <c r="J26" s="23"/>
      <c r="K26" s="24"/>
      <c r="L26" s="9"/>
      <c r="M26" s="25"/>
      <c r="N26" s="25"/>
      <c r="O26" s="4"/>
      <c r="P26" s="4"/>
      <c r="Q26" s="25"/>
    </row>
    <row r="27" spans="2:17" x14ac:dyDescent="0.4">
      <c r="B27" s="9"/>
      <c r="C27" s="23"/>
      <c r="D27" s="23"/>
      <c r="E27" s="23"/>
      <c r="F27" s="9"/>
      <c r="G27" s="9"/>
      <c r="H27" s="9"/>
      <c r="I27" s="9"/>
      <c r="J27" s="23"/>
      <c r="K27" s="24"/>
      <c r="L27" s="26"/>
      <c r="M27" s="25"/>
      <c r="N27" s="25"/>
      <c r="O27" s="4"/>
      <c r="P27" s="4"/>
      <c r="Q27" s="25"/>
    </row>
    <row r="28" spans="2:17" x14ac:dyDescent="0.4">
      <c r="D28" s="27"/>
      <c r="F28" s="27"/>
      <c r="H28" s="27"/>
      <c r="I28" s="27"/>
      <c r="J28" s="27"/>
      <c r="L28" s="27"/>
      <c r="M28" s="27"/>
      <c r="N28" s="27"/>
      <c r="O28" s="27"/>
    </row>
    <row r="29" spans="2:17" x14ac:dyDescent="0.4">
      <c r="C29" s="28" t="s">
        <v>59</v>
      </c>
      <c r="D29" s="29" t="s">
        <v>52</v>
      </c>
      <c r="E29" s="30"/>
      <c r="F29" s="30"/>
      <c r="H29" s="27"/>
      <c r="I29" s="27"/>
      <c r="J29" s="27"/>
      <c r="L29" s="27"/>
      <c r="M29" s="27"/>
      <c r="N29" s="27"/>
      <c r="O29" s="27"/>
    </row>
    <row r="30" spans="2:17" x14ac:dyDescent="0.4">
      <c r="B30" s="31"/>
      <c r="C30" s="28" t="s">
        <v>60</v>
      </c>
      <c r="D30" s="29" t="s">
        <v>53</v>
      </c>
      <c r="E30" s="31"/>
      <c r="F30" s="27"/>
      <c r="G30" s="31"/>
      <c r="J30" s="27"/>
      <c r="M30" s="27"/>
      <c r="N30" s="31"/>
      <c r="O30" s="31"/>
    </row>
  </sheetData>
  <mergeCells count="1">
    <mergeCell ref="G1:K1"/>
  </mergeCells>
  <conditionalFormatting sqref="N2:N12">
    <cfRule type="cellIs" dxfId="1" priority="1" operator="equal">
      <formula>"Softball"</formula>
    </cfRule>
    <cfRule type="cellIs" dxfId="0" priority="2" operator="equal">
      <formula>"Baseball"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</vt:lpstr>
      <vt:lpstr>BRACKET</vt:lpstr>
      <vt:lpstr>D27</vt:lpstr>
      <vt:lpstr>SCHEDULE!Print_Titles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Jeff Bennett</cp:lastModifiedBy>
  <cp:lastPrinted>2026-06-01T20:00:20Z</cp:lastPrinted>
  <dcterms:created xsi:type="dcterms:W3CDTF">2025-04-23T04:18:02Z</dcterms:created>
  <dcterms:modified xsi:type="dcterms:W3CDTF">2026-06-04T06:07:11Z</dcterms:modified>
</cp:coreProperties>
</file>