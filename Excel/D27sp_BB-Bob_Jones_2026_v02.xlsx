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Removable Disk\JB_Flash_Drive\Jeff\ELL_2026\PA_District_27\All_Stars\Schedules\Special Games\"/>
    </mc:Choice>
  </mc:AlternateContent>
  <xr:revisionPtr revIDLastSave="0" documentId="13_ncr:1_{F7A78C39-3FCB-417E-BD69-4814E21734C7}" xr6:coauthVersionLast="47" xr6:coauthVersionMax="47" xr10:uidLastSave="{00000000-0000-0000-0000-000000000000}"/>
  <bookViews>
    <workbookView xWindow="-103" yWindow="-103" windowWidth="27634" windowHeight="16629" activeTab="1" xr2:uid="{961A3450-B734-4A1E-A0D8-A94197BC3646}"/>
  </bookViews>
  <sheets>
    <sheet name="SCHEDULE" sheetId="1" r:id="rId1"/>
    <sheet name="BRACKET" sheetId="2" r:id="rId2"/>
    <sheet name="D27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3" l="1"/>
  <c r="P3" i="3"/>
  <c r="P2" i="3"/>
  <c r="A6" i="3"/>
  <c r="A5" i="3"/>
  <c r="A4" i="3"/>
  <c r="A3" i="3"/>
  <c r="A2" i="3"/>
  <c r="B13" i="2"/>
  <c r="A12" i="2"/>
  <c r="C7" i="2"/>
  <c r="A7" i="2"/>
  <c r="B6" i="2"/>
  <c r="P5" i="3" l="1"/>
  <c r="P6" i="3" s="1"/>
  <c r="M6" i="3"/>
  <c r="L6" i="3"/>
  <c r="K6" i="3"/>
  <c r="I6" i="3"/>
  <c r="H6" i="3"/>
  <c r="E6" i="3"/>
  <c r="D6" i="3"/>
  <c r="M5" i="3"/>
  <c r="L5" i="3"/>
  <c r="K5" i="3"/>
  <c r="I5" i="3"/>
  <c r="H5" i="3"/>
  <c r="E5" i="3"/>
  <c r="D5" i="3"/>
  <c r="C5" i="3"/>
  <c r="M4" i="3"/>
  <c r="L4" i="3"/>
  <c r="K4" i="3"/>
  <c r="I4" i="3"/>
  <c r="H4" i="3"/>
  <c r="E4" i="3"/>
  <c r="D4" i="3"/>
  <c r="M3" i="3"/>
  <c r="L3" i="3"/>
  <c r="K3" i="3"/>
  <c r="I3" i="3"/>
  <c r="H3" i="3"/>
  <c r="E3" i="3"/>
  <c r="D3" i="3"/>
  <c r="M2" i="3"/>
  <c r="L2" i="3"/>
  <c r="K2" i="3"/>
  <c r="I2" i="3"/>
  <c r="H2" i="3"/>
  <c r="E2" i="3"/>
  <c r="D2" i="3"/>
  <c r="M1" i="3"/>
  <c r="L1" i="3"/>
  <c r="G1" i="3"/>
  <c r="E1" i="3"/>
  <c r="D1" i="3"/>
  <c r="C1" i="3"/>
  <c r="A1" i="3"/>
  <c r="P16" i="3"/>
  <c r="O16" i="3"/>
  <c r="N16" i="3"/>
  <c r="L16" i="3"/>
  <c r="K16" i="3"/>
  <c r="P15" i="3"/>
  <c r="O15" i="3"/>
  <c r="N15" i="3"/>
  <c r="L15" i="3"/>
  <c r="K15" i="3"/>
  <c r="P14" i="3"/>
  <c r="Z6" i="1" s="1"/>
  <c r="O14" i="3"/>
  <c r="N14" i="3"/>
  <c r="L14" i="3"/>
  <c r="K14" i="3"/>
  <c r="P13" i="3"/>
  <c r="O13" i="3"/>
  <c r="N13" i="3"/>
  <c r="L13" i="3"/>
  <c r="K13" i="3"/>
  <c r="P12" i="3"/>
  <c r="O12" i="3"/>
  <c r="N12" i="3"/>
  <c r="L12" i="3"/>
  <c r="K12" i="3"/>
  <c r="B12" i="3"/>
  <c r="B13" i="3" s="1"/>
  <c r="P11" i="3"/>
  <c r="O11" i="3"/>
  <c r="N11" i="3"/>
  <c r="L11" i="3"/>
  <c r="K11" i="3"/>
  <c r="P10" i="3"/>
  <c r="O10" i="3"/>
  <c r="N10" i="3"/>
  <c r="L10" i="3"/>
  <c r="AA9" i="1"/>
  <c r="AA8" i="1"/>
  <c r="P8" i="1"/>
  <c r="B8" i="1"/>
  <c r="P6" i="1"/>
  <c r="B6" i="1"/>
  <c r="P5" i="1"/>
  <c r="B5" i="1"/>
  <c r="W3" i="1"/>
  <c r="P3" i="1"/>
  <c r="P2" i="1"/>
  <c r="B2" i="1"/>
  <c r="I5" i="1" a="1"/>
  <c r="F6" i="1" a="1"/>
  <c r="X2" i="1" l="1"/>
  <c r="R2" i="1" s="1"/>
  <c r="F2" i="1" s="1"/>
  <c r="G2" i="3" s="1"/>
  <c r="X4" i="1"/>
  <c r="X7" i="1"/>
  <c r="X3" i="1"/>
  <c r="U2" i="1" s="1"/>
  <c r="I2" i="1" s="1"/>
  <c r="J2" i="3" s="1"/>
  <c r="X6" i="1"/>
  <c r="X5" i="1"/>
  <c r="C4" i="3"/>
  <c r="C3" i="3"/>
  <c r="C2" i="3"/>
  <c r="C6" i="3"/>
  <c r="Z7" i="1"/>
  <c r="Z4" i="1"/>
  <c r="Z2" i="1"/>
  <c r="AA2" i="1" s="1"/>
  <c r="Z5" i="1"/>
  <c r="Z3" i="1"/>
  <c r="Y7" i="1"/>
  <c r="Y6" i="1"/>
  <c r="Y4" i="1"/>
  <c r="Y3" i="1"/>
  <c r="Y2" i="1"/>
  <c r="Y5" i="1"/>
  <c r="I5" i="1"/>
  <c r="F6" i="1"/>
  <c r="W4" i="1"/>
  <c r="I8" i="1" a="1"/>
  <c r="F8" i="1" a="1"/>
  <c r="A9" i="2" l="1"/>
  <c r="A6" i="2"/>
  <c r="AA3" i="1"/>
  <c r="I8" i="1"/>
  <c r="F8" i="1"/>
  <c r="J4" i="3"/>
  <c r="B8" i="2"/>
  <c r="G5" i="3"/>
  <c r="B12" i="2"/>
  <c r="AA4" i="1"/>
  <c r="R3" i="1"/>
  <c r="F3" i="1" s="1"/>
  <c r="W5" i="1"/>
  <c r="F10" i="1" a="1"/>
  <c r="C14" i="2" l="1"/>
  <c r="G6" i="3"/>
  <c r="J6" i="3"/>
  <c r="C6" i="2"/>
  <c r="F10" i="1"/>
  <c r="D10" i="2" s="1"/>
  <c r="A11" i="2"/>
  <c r="G3" i="3"/>
  <c r="AA5" i="1"/>
  <c r="W6" i="1"/>
  <c r="U3" i="1"/>
  <c r="I3" i="1" s="1"/>
  <c r="A14" i="2" l="1"/>
  <c r="J3" i="3"/>
  <c r="W7" i="1"/>
  <c r="AA6" i="1"/>
  <c r="R5" i="1"/>
  <c r="F5" i="1" s="1"/>
  <c r="B5" i="2" l="1"/>
  <c r="G4" i="3"/>
  <c r="AA7" i="1"/>
  <c r="AA10" i="1" s="1"/>
  <c r="U6" i="1"/>
  <c r="I6" i="1" s="1"/>
  <c r="B15" i="2" l="1"/>
  <c r="J5" i="3"/>
  <c r="D1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<sst xmlns="http://schemas.openxmlformats.org/spreadsheetml/2006/main" count="96" uniqueCount="67">
  <si>
    <t>G #</t>
  </si>
  <si>
    <t>Day</t>
  </si>
  <si>
    <t>Date</t>
  </si>
  <si>
    <t>Time</t>
  </si>
  <si>
    <t>Teams &amp; Scores</t>
  </si>
  <si>
    <t>Host/Park/Field</t>
  </si>
  <si>
    <t>Umpire(s)</t>
  </si>
  <si>
    <t>Umpire (bases)</t>
  </si>
  <si>
    <t>SUM</t>
  </si>
  <si>
    <t>Teams</t>
  </si>
  <si>
    <t>#</t>
  </si>
  <si>
    <t>Team</t>
  </si>
  <si>
    <t>GC Name</t>
  </si>
  <si>
    <t>Park</t>
  </si>
  <si>
    <t>Host</t>
  </si>
  <si>
    <t>vs</t>
  </si>
  <si>
    <t>Local Umpires</t>
  </si>
  <si>
    <t>WG-1</t>
  </si>
  <si>
    <t>WG-2</t>
  </si>
  <si>
    <t>LP-Palmer Park</t>
  </si>
  <si>
    <t>Assigned by 
D27 Gary Hall</t>
  </si>
  <si>
    <t>WG-3</t>
  </si>
  <si>
    <t>WG-4</t>
  </si>
  <si>
    <t>Champion</t>
  </si>
  <si>
    <t>Total</t>
  </si>
  <si>
    <t>* Local Umpires = Umpires hired and securied by the Host League</t>
  </si>
  <si>
    <t>D27 Special Games</t>
  </si>
  <si>
    <t>BB-Bob Jones</t>
  </si>
  <si>
    <t>11/12 YO Baseball</t>
  </si>
  <si>
    <t>G#</t>
  </si>
  <si>
    <t>Division</t>
  </si>
  <si>
    <t>Level</t>
  </si>
  <si>
    <t>Tournament</t>
  </si>
  <si>
    <t>Championship</t>
  </si>
  <si>
    <t>D27 DA</t>
  </si>
  <si>
    <t>Baseball</t>
  </si>
  <si>
    <t>BB-BobJones</t>
  </si>
  <si>
    <t>Manager</t>
  </si>
  <si>
    <t>Email Address</t>
  </si>
  <si>
    <t>Cell Phone</t>
  </si>
  <si>
    <t>ABBV</t>
  </si>
  <si>
    <t>Points</t>
  </si>
  <si>
    <t>Order</t>
  </si>
  <si>
    <t>Chester Valley</t>
  </si>
  <si>
    <t>CV</t>
  </si>
  <si>
    <t>GC Abbrev</t>
  </si>
  <si>
    <t>Game Abbrev</t>
  </si>
  <si>
    <t>Devon/Strafford</t>
  </si>
  <si>
    <t>DS</t>
  </si>
  <si>
    <t>GVE1</t>
  </si>
  <si>
    <t>GVE2</t>
  </si>
  <si>
    <t>LP1</t>
  </si>
  <si>
    <t>LP2</t>
  </si>
  <si>
    <t>GV-King Road</t>
  </si>
  <si>
    <t>CV-Monument Park</t>
  </si>
  <si>
    <t>DS-Clarke Field</t>
  </si>
  <si>
    <t>-D27-BJ-</t>
  </si>
  <si>
    <t>Rich Boyd</t>
  </si>
  <si>
    <t>GVE1 (Grizzlies)</t>
  </si>
  <si>
    <t>Doug Ervin</t>
  </si>
  <si>
    <t>Joe Cecco</t>
  </si>
  <si>
    <t>610-551-4684</t>
  </si>
  <si>
    <t>jcecco@verizon.net</t>
  </si>
  <si>
    <t>GVE2 (TBD)</t>
  </si>
  <si>
    <t>Lower Perk (TBD)</t>
  </si>
  <si>
    <t>EX-Ship Park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</si>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</sst>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d"/>
    <numFmt numFmtId="165" formatCode="mmm\-dd\-yyyy"/>
    <numFmt numFmtId="166" formatCode="mm/dd/yy"/>
    <numFmt numFmtId="167" formatCode="dd\-mmm\-yy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u/>
      <sz val="1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0"/>
      <name val="Calibri"/>
      <family val="2"/>
    </font>
    <font>
      <sz val="18"/>
      <name val="Calibri"/>
      <family val="2"/>
    </font>
    <font>
      <sz val="8"/>
      <name val="Arial"/>
      <family val="2"/>
    </font>
    <font>
      <b/>
      <u/>
      <sz val="10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color theme="1"/>
      <name val="Calibri"/>
      <family val="2"/>
    </font>
    <font>
      <b/>
      <sz val="10"/>
      <name val="Calibri"/>
      <family val="2"/>
    </font>
    <font>
      <b/>
      <sz val="12"/>
      <name val="Calibri"/>
      <family val="2"/>
    </font>
    <font>
      <sz val="1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92">
    <xf numFmtId="0" fontId="0" fillId="0" borderId="0" xfId="0"/>
    <xf numFmtId="0" fontId="3" fillId="2" borderId="1" xfId="1" applyFont="1" applyFill="1" applyBorder="1" applyAlignment="1">
      <alignment horizontal="center" vertical="center"/>
    </xf>
    <xf numFmtId="0" fontId="3" fillId="0" borderId="1" xfId="1" applyFont="1" applyBorder="1" applyAlignment="1">
      <alignment horizontal="right" vertical="center"/>
    </xf>
    <xf numFmtId="0" fontId="3" fillId="0" borderId="1" xfId="1" applyFont="1" applyBorder="1" applyAlignment="1">
      <alignment horizontal="center" vertical="center"/>
    </xf>
    <xf numFmtId="0" fontId="4" fillId="0" borderId="0" xfId="1" applyFont="1" applyAlignment="1">
      <alignment vertical="center"/>
    </xf>
    <xf numFmtId="0" fontId="5" fillId="2" borderId="1" xfId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3" borderId="1" xfId="1" applyFont="1" applyFill="1" applyBorder="1" applyAlignment="1">
      <alignment horizontal="center" vertical="center"/>
    </xf>
    <xf numFmtId="164" fontId="4" fillId="3" borderId="1" xfId="1" applyNumberFormat="1" applyFont="1" applyFill="1" applyBorder="1" applyAlignment="1">
      <alignment horizontal="center" vertical="center"/>
    </xf>
    <xf numFmtId="165" fontId="4" fillId="3" borderId="1" xfId="1" applyNumberFormat="1" applyFont="1" applyFill="1" applyBorder="1" applyAlignment="1">
      <alignment horizontal="center" vertical="center"/>
    </xf>
    <xf numFmtId="18" fontId="4" fillId="3" borderId="1" xfId="1" applyNumberFormat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right" vertical="center"/>
    </xf>
    <xf numFmtId="0" fontId="4" fillId="4" borderId="1" xfId="1" applyFont="1" applyFill="1" applyBorder="1" applyAlignment="1">
      <alignment vertical="center"/>
    </xf>
    <xf numFmtId="0" fontId="4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vertical="center"/>
    </xf>
    <xf numFmtId="1" fontId="4" fillId="0" borderId="0" xfId="1" applyNumberFormat="1" applyFont="1" applyAlignment="1">
      <alignment vertical="center"/>
    </xf>
    <xf numFmtId="0" fontId="5" fillId="0" borderId="1" xfId="1" applyFont="1" applyBorder="1" applyAlignment="1">
      <alignment horizontal="center" vertical="center"/>
    </xf>
    <xf numFmtId="0" fontId="4" fillId="5" borderId="1" xfId="1" applyFont="1" applyFill="1" applyBorder="1" applyAlignment="1">
      <alignment horizontal="center" vertical="center"/>
    </xf>
    <xf numFmtId="0" fontId="4" fillId="5" borderId="1" xfId="1" applyFont="1" applyFill="1" applyBorder="1" applyAlignment="1">
      <alignment horizontal="left" vertical="center"/>
    </xf>
    <xf numFmtId="0" fontId="5" fillId="0" borderId="1" xfId="1" applyFont="1" applyBorder="1" applyAlignment="1">
      <alignment vertical="center"/>
    </xf>
    <xf numFmtId="0" fontId="4" fillId="3" borderId="1" xfId="1" applyFont="1" applyFill="1" applyBorder="1" applyAlignment="1">
      <alignment vertical="center"/>
    </xf>
    <xf numFmtId="0" fontId="4" fillId="3" borderId="1" xfId="1" applyFont="1" applyFill="1" applyBorder="1" applyAlignment="1">
      <alignment horizontal="right" vertical="center"/>
    </xf>
    <xf numFmtId="164" fontId="4" fillId="6" borderId="1" xfId="1" applyNumberFormat="1" applyFont="1" applyFill="1" applyBorder="1" applyAlignment="1">
      <alignment horizontal="center" vertical="center"/>
    </xf>
    <xf numFmtId="165" fontId="4" fillId="6" borderId="1" xfId="1" applyNumberFormat="1" applyFont="1" applyFill="1" applyBorder="1" applyAlignment="1">
      <alignment horizontal="center" vertical="center"/>
    </xf>
    <xf numFmtId="18" fontId="4" fillId="6" borderId="1" xfId="1" applyNumberFormat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 wrapText="1"/>
    </xf>
    <xf numFmtId="0" fontId="4" fillId="0" borderId="1" xfId="1" applyFont="1" applyBorder="1" applyAlignment="1">
      <alignment horizontal="left" vertical="center"/>
    </xf>
    <xf numFmtId="18" fontId="5" fillId="0" borderId="1" xfId="1" applyNumberFormat="1" applyFont="1" applyBorder="1" applyAlignment="1">
      <alignment horizontal="center" vertical="center"/>
    </xf>
    <xf numFmtId="0" fontId="5" fillId="0" borderId="1" xfId="1" applyFont="1" applyBorder="1" applyAlignment="1">
      <alignment horizontal="left" vertical="center"/>
    </xf>
    <xf numFmtId="0" fontId="4" fillId="0" borderId="0" xfId="1" applyFont="1" applyAlignment="1">
      <alignment horizontal="center" vertical="center"/>
    </xf>
    <xf numFmtId="166" fontId="4" fillId="0" borderId="0" xfId="1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167" fontId="4" fillId="0" borderId="0" xfId="1" applyNumberFormat="1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9" fillId="2" borderId="1" xfId="1" applyFont="1" applyFill="1" applyBorder="1" applyAlignment="1">
      <alignment horizontal="center" vertical="center"/>
    </xf>
    <xf numFmtId="0" fontId="9" fillId="2" borderId="2" xfId="1" applyFont="1" applyFill="1" applyBorder="1" applyAlignment="1">
      <alignment horizontal="center" vertical="center"/>
    </xf>
    <xf numFmtId="0" fontId="10" fillId="0" borderId="0" xfId="0" applyFont="1"/>
    <xf numFmtId="0" fontId="10" fillId="3" borderId="1" xfId="1" applyFont="1" applyFill="1" applyBorder="1" applyAlignment="1">
      <alignment horizontal="center" vertical="center"/>
    </xf>
    <xf numFmtId="164" fontId="10" fillId="3" borderId="1" xfId="1" applyNumberFormat="1" applyFont="1" applyFill="1" applyBorder="1" applyAlignment="1">
      <alignment horizontal="center" vertical="center"/>
    </xf>
    <xf numFmtId="165" fontId="10" fillId="3" borderId="1" xfId="1" applyNumberFormat="1" applyFont="1" applyFill="1" applyBorder="1" applyAlignment="1">
      <alignment horizontal="center" vertical="center"/>
    </xf>
    <xf numFmtId="18" fontId="10" fillId="3" borderId="1" xfId="1" applyNumberFormat="1" applyFont="1" applyFill="1" applyBorder="1" applyAlignment="1">
      <alignment horizontal="center" vertical="center"/>
    </xf>
    <xf numFmtId="0" fontId="10" fillId="4" borderId="1" xfId="1" applyFont="1" applyFill="1" applyBorder="1" applyAlignment="1">
      <alignment vertical="center"/>
    </xf>
    <xf numFmtId="0" fontId="10" fillId="0" borderId="1" xfId="1" applyFont="1" applyBorder="1" applyAlignment="1">
      <alignment horizontal="center" vertical="center"/>
    </xf>
    <xf numFmtId="0" fontId="5" fillId="7" borderId="1" xfId="1" applyFont="1" applyFill="1" applyBorder="1" applyAlignment="1">
      <alignment horizontal="center" vertical="center"/>
    </xf>
    <xf numFmtId="0" fontId="10" fillId="3" borderId="1" xfId="1" applyFont="1" applyFill="1" applyBorder="1" applyAlignment="1">
      <alignment vertical="center"/>
    </xf>
    <xf numFmtId="164" fontId="10" fillId="6" borderId="1" xfId="1" applyNumberFormat="1" applyFont="1" applyFill="1" applyBorder="1" applyAlignment="1">
      <alignment horizontal="center" vertical="center"/>
    </xf>
    <xf numFmtId="165" fontId="10" fillId="6" borderId="1" xfId="1" applyNumberFormat="1" applyFont="1" applyFill="1" applyBorder="1" applyAlignment="1">
      <alignment horizontal="center" vertical="center"/>
    </xf>
    <xf numFmtId="18" fontId="10" fillId="6" borderId="1" xfId="1" applyNumberFormat="1" applyFont="1" applyFill="1" applyBorder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0" fillId="0" borderId="0" xfId="1" applyFont="1" applyAlignment="1">
      <alignment vertical="center"/>
    </xf>
    <xf numFmtId="0" fontId="11" fillId="2" borderId="1" xfId="1" applyFont="1" applyFill="1" applyBorder="1" applyAlignment="1">
      <alignment horizontal="center" vertical="center"/>
    </xf>
    <xf numFmtId="0" fontId="11" fillId="2" borderId="1" xfId="1" applyFont="1" applyFill="1" applyBorder="1" applyAlignment="1">
      <alignment horizontal="left" vertical="center"/>
    </xf>
    <xf numFmtId="0" fontId="10" fillId="8" borderId="1" xfId="1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0" fillId="8" borderId="1" xfId="1" applyFont="1" applyFill="1" applyBorder="1" applyAlignment="1">
      <alignment vertical="center"/>
    </xf>
    <xf numFmtId="0" fontId="10" fillId="3" borderId="1" xfId="1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left"/>
    </xf>
    <xf numFmtId="0" fontId="10" fillId="0" borderId="1" xfId="1" quotePrefix="1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167" fontId="10" fillId="0" borderId="0" xfId="1" applyNumberFormat="1" applyFont="1" applyAlignment="1">
      <alignment horizontal="center" vertical="center"/>
    </xf>
    <xf numFmtId="0" fontId="10" fillId="9" borderId="1" xfId="1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16" fontId="6" fillId="10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2" fillId="0" borderId="0" xfId="0" applyFont="1" applyAlignment="1">
      <alignment horizontal="right" vertical="center"/>
    </xf>
    <xf numFmtId="0" fontId="13" fillId="0" borderId="0" xfId="0" applyFont="1" applyAlignment="1">
      <alignment horizontal="right" vertical="center"/>
    </xf>
    <xf numFmtId="0" fontId="13" fillId="0" borderId="11" xfId="0" applyFont="1" applyBorder="1" applyAlignment="1">
      <alignment horizontal="right" vertical="center"/>
    </xf>
    <xf numFmtId="0" fontId="10" fillId="4" borderId="1" xfId="1" applyFont="1" applyFill="1" applyBorder="1" applyAlignment="1">
      <alignment horizontal="center" vertical="center" wrapText="1"/>
    </xf>
    <xf numFmtId="0" fontId="14" fillId="11" borderId="10" xfId="0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4" fillId="0" borderId="1" xfId="1" applyFont="1" applyBorder="1" applyAlignment="1">
      <alignment horizontal="left" vertical="center" wrapText="1"/>
    </xf>
    <xf numFmtId="0" fontId="7" fillId="10" borderId="5" xfId="0" applyFont="1" applyFill="1" applyBorder="1" applyAlignment="1">
      <alignment horizontal="center" vertical="center"/>
    </xf>
    <xf numFmtId="0" fontId="7" fillId="10" borderId="6" xfId="0" applyFont="1" applyFill="1" applyBorder="1" applyAlignment="1">
      <alignment horizontal="center" vertical="center"/>
    </xf>
    <xf numFmtId="0" fontId="6" fillId="8" borderId="7" xfId="1" quotePrefix="1" applyFont="1" applyFill="1" applyBorder="1" applyAlignment="1">
      <alignment horizontal="right" vertical="center" wrapText="1"/>
    </xf>
    <xf numFmtId="0" fontId="6" fillId="8" borderId="8" xfId="1" applyFont="1" applyFill="1" applyBorder="1" applyAlignment="1">
      <alignment horizontal="right" vertical="center" wrapText="1"/>
    </xf>
    <xf numFmtId="0" fontId="6" fillId="13" borderId="7" xfId="1" quotePrefix="1" applyFont="1" applyFill="1" applyBorder="1" applyAlignment="1">
      <alignment horizontal="right" vertical="center" wrapText="1"/>
    </xf>
    <xf numFmtId="0" fontId="6" fillId="13" borderId="8" xfId="1" applyFont="1" applyFill="1" applyBorder="1" applyAlignment="1">
      <alignment horizontal="right" vertical="center" wrapText="1"/>
    </xf>
    <xf numFmtId="0" fontId="6" fillId="12" borderId="7" xfId="0" quotePrefix="1" applyFont="1" applyFill="1" applyBorder="1" applyAlignment="1">
      <alignment horizontal="right" vertical="center" wrapText="1"/>
    </xf>
    <xf numFmtId="0" fontId="6" fillId="12" borderId="9" xfId="0" applyFont="1" applyFill="1" applyBorder="1" applyAlignment="1">
      <alignment horizontal="right" vertical="center" wrapText="1"/>
    </xf>
    <xf numFmtId="0" fontId="6" fillId="12" borderId="8" xfId="0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horizontal="center" vertical="center"/>
    </xf>
    <xf numFmtId="0" fontId="9" fillId="2" borderId="3" xfId="1" applyFont="1" applyFill="1" applyBorder="1" applyAlignment="1">
      <alignment horizontal="center" vertical="center"/>
    </xf>
    <xf numFmtId="0" fontId="9" fillId="2" borderId="4" xfId="1" applyFont="1" applyFill="1" applyBorder="1" applyAlignment="1">
      <alignment horizontal="center" vertical="center"/>
    </xf>
    <xf numFmtId="0" fontId="15" fillId="0" borderId="1" xfId="1" applyFont="1" applyBorder="1" applyAlignment="1">
      <alignment horizontal="center" vertical="center"/>
    </xf>
  </cellXfs>
  <cellStyles count="2">
    <cellStyle name="Normal" xfId="0" builtinId="0"/>
    <cellStyle name="Normal 2" xfId="1" xr:uid="{09AFD2C2-CDF6-40D4-A50D-BC5EED4B194B}"/>
  </cellStyles>
  <dxfs count="4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06E9D-F327-4E01-ABF9-0F33090FAD26}">
  <sheetPr>
    <pageSetUpPr fitToPage="1"/>
  </sheetPr>
  <dimension ref="A1:AP50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G2" sqref="G2"/>
    </sheetView>
  </sheetViews>
  <sheetFormatPr defaultColWidth="9.15234375" defaultRowHeight="14.6" x14ac:dyDescent="0.4"/>
  <cols>
    <col min="1" max="1" width="5.84375" style="29" customWidth="1"/>
    <col min="2" max="2" width="6.69140625" style="29" customWidth="1"/>
    <col min="3" max="3" width="12.69140625" style="32" customWidth="1"/>
    <col min="4" max="4" width="9.69140625" style="29" bestFit="1" customWidth="1"/>
    <col min="5" max="5" width="2.69140625" style="4" hidden="1" customWidth="1"/>
    <col min="6" max="6" width="17.69140625" style="4" customWidth="1"/>
    <col min="7" max="7" width="4.69140625" style="29" customWidth="1"/>
    <col min="8" max="8" width="4.69140625" style="4" customWidth="1"/>
    <col min="9" max="9" width="17.69140625" style="4" customWidth="1"/>
    <col min="10" max="10" width="4.69140625" style="4" customWidth="1"/>
    <col min="11" max="11" width="4.69140625" style="4" hidden="1" customWidth="1"/>
    <col min="12" max="12" width="17.921875" style="4" customWidth="1"/>
    <col min="13" max="13" width="16.921875" style="4" customWidth="1"/>
    <col min="14" max="14" width="18.69140625" style="4" hidden="1" customWidth="1"/>
    <col min="15" max="15" width="2.69140625" style="4" hidden="1" customWidth="1"/>
    <col min="16" max="16" width="6.69140625" style="4" hidden="1" customWidth="1"/>
    <col min="17" max="17" width="2.69140625" style="4" hidden="1" customWidth="1"/>
    <col min="18" max="18" width="20.69140625" style="29" hidden="1" customWidth="1"/>
    <col min="19" max="20" width="2.69140625" style="29" hidden="1" customWidth="1"/>
    <col min="21" max="21" width="20.69140625" style="29" hidden="1" customWidth="1"/>
    <col min="22" max="22" width="4.69140625" style="4" customWidth="1"/>
    <col min="23" max="23" width="4.69140625" style="29" customWidth="1"/>
    <col min="24" max="24" width="17" style="4" customWidth="1"/>
    <col min="25" max="25" width="15.23046875" style="29" hidden="1" customWidth="1"/>
    <col min="26" max="26" width="17.765625" style="4" customWidth="1"/>
    <col min="27" max="27" width="6.3828125" style="4" customWidth="1"/>
    <col min="28" max="29" width="9.15234375" style="6"/>
    <col min="30" max="30" width="13.23046875" style="6" bestFit="1" customWidth="1"/>
    <col min="31" max="31" width="10.61328125" style="6" bestFit="1" customWidth="1"/>
    <col min="32" max="32" width="7.3828125" style="6" bestFit="1" customWidth="1"/>
    <col min="33" max="16384" width="9.15234375" style="6"/>
  </cols>
  <sheetData>
    <row r="1" spans="1:42" x14ac:dyDescent="0.4">
      <c r="A1" s="1" t="s">
        <v>0</v>
      </c>
      <c r="B1" s="1" t="s">
        <v>1</v>
      </c>
      <c r="C1" s="1" t="s">
        <v>2</v>
      </c>
      <c r="D1" s="1" t="s">
        <v>3</v>
      </c>
      <c r="E1" s="2"/>
      <c r="F1" s="74" t="s">
        <v>4</v>
      </c>
      <c r="G1" s="74"/>
      <c r="H1" s="74"/>
      <c r="I1" s="74"/>
      <c r="J1" s="74"/>
      <c r="K1" s="3"/>
      <c r="L1" s="1" t="s">
        <v>5</v>
      </c>
      <c r="M1" s="1" t="s">
        <v>6</v>
      </c>
      <c r="N1" s="1" t="s">
        <v>7</v>
      </c>
      <c r="O1" s="3"/>
      <c r="P1" s="1" t="s">
        <v>8</v>
      </c>
      <c r="Q1" s="3"/>
      <c r="R1" s="74" t="s">
        <v>9</v>
      </c>
      <c r="S1" s="74"/>
      <c r="T1" s="74"/>
      <c r="U1" s="74"/>
      <c r="W1" s="5" t="s">
        <v>10</v>
      </c>
      <c r="X1" s="5" t="s">
        <v>11</v>
      </c>
      <c r="Y1" s="5" t="s">
        <v>12</v>
      </c>
      <c r="Z1" s="5" t="s">
        <v>13</v>
      </c>
      <c r="AA1" s="5" t="s">
        <v>14</v>
      </c>
    </row>
    <row r="2" spans="1:42" x14ac:dyDescent="0.4">
      <c r="A2" s="7">
        <v>1</v>
      </c>
      <c r="B2" s="8">
        <f>+C2</f>
        <v>46183</v>
      </c>
      <c r="C2" s="9">
        <v>46183</v>
      </c>
      <c r="D2" s="10">
        <v>0.75</v>
      </c>
      <c r="E2" s="11"/>
      <c r="F2" s="12" t="str">
        <f>+R2</f>
        <v>Devon/Strafford</v>
      </c>
      <c r="G2" s="91"/>
      <c r="H2" s="13" t="s">
        <v>15</v>
      </c>
      <c r="I2" s="12" t="str">
        <f>+U2</f>
        <v>Lower Perk (TBD)</v>
      </c>
      <c r="J2" s="91"/>
      <c r="K2" s="14"/>
      <c r="L2" s="13" t="s">
        <v>55</v>
      </c>
      <c r="M2" s="13" t="s">
        <v>16</v>
      </c>
      <c r="N2" s="13"/>
      <c r="O2" s="13"/>
      <c r="P2" s="13">
        <f>+G2+J2</f>
        <v>0</v>
      </c>
      <c r="Q2" s="13"/>
      <c r="R2" s="13" t="str">
        <f>+X2</f>
        <v>Devon/Strafford</v>
      </c>
      <c r="S2" s="13"/>
      <c r="T2" s="13"/>
      <c r="U2" s="13" t="str">
        <f>+X3</f>
        <v>Lower Perk (TBD)</v>
      </c>
      <c r="V2" s="15"/>
      <c r="W2" s="16">
        <v>1</v>
      </c>
      <c r="X2" s="18" t="str">
        <f>VLOOKUP($W2,'D27'!$K$11:$P$16,2,FALSE)</f>
        <v>Devon/Strafford</v>
      </c>
      <c r="Y2" s="17">
        <f>VLOOKUP($W2,'D27'!$K$11:$P$16,3,FALSE)</f>
        <v>0</v>
      </c>
      <c r="Z2" s="18" t="str">
        <f>VLOOKUP($W2,'D27'!$K$11:$P$16,6,FALSE)</f>
        <v>DS-Clarke Field</v>
      </c>
      <c r="AA2" s="13">
        <f>IF(Z2="","",COUNTIF($L$2:$L$48,$Z2))</f>
        <v>1</v>
      </c>
    </row>
    <row r="3" spans="1:42" x14ac:dyDescent="0.4">
      <c r="A3" s="7">
        <v>2</v>
      </c>
      <c r="B3" s="10" t="s">
        <v>66</v>
      </c>
      <c r="C3" s="10" t="s">
        <v>66</v>
      </c>
      <c r="D3" s="10" t="s">
        <v>66</v>
      </c>
      <c r="E3" s="11"/>
      <c r="F3" s="12" t="str">
        <f>+R3</f>
        <v>GVE1 (Grizzlies)</v>
      </c>
      <c r="G3" s="91">
        <v>6</v>
      </c>
      <c r="H3" s="13" t="s">
        <v>15</v>
      </c>
      <c r="I3" s="12" t="str">
        <f>+U3</f>
        <v>Chester Valley</v>
      </c>
      <c r="J3" s="91">
        <v>0</v>
      </c>
      <c r="K3" s="14"/>
      <c r="L3" s="13" t="s">
        <v>66</v>
      </c>
      <c r="M3" s="13" t="s">
        <v>66</v>
      </c>
      <c r="N3" s="13"/>
      <c r="O3" s="14"/>
      <c r="P3" s="13">
        <f>+G3+J3</f>
        <v>6</v>
      </c>
      <c r="Q3" s="14"/>
      <c r="R3" s="13" t="str">
        <f>+X4</f>
        <v>GVE1 (Grizzlies)</v>
      </c>
      <c r="S3" s="13"/>
      <c r="T3" s="13"/>
      <c r="U3" s="13" t="str">
        <f>+X5</f>
        <v>Chester Valley</v>
      </c>
      <c r="V3" s="15"/>
      <c r="W3" s="16">
        <f>+W2+1</f>
        <v>2</v>
      </c>
      <c r="X3" s="18" t="str">
        <f>VLOOKUP($W3,'D27'!$K$11:$P$16,2,FALSE)</f>
        <v>Lower Perk (TBD)</v>
      </c>
      <c r="Y3" s="17">
        <f>VLOOKUP($W3,'D27'!$K$11:$P$16,3,FALSE)</f>
        <v>0</v>
      </c>
      <c r="Z3" s="18" t="str">
        <f>VLOOKUP($W3,'D27'!$K$11:$P$16,6,FALSE)</f>
        <v/>
      </c>
      <c r="AA3" s="13" t="str">
        <f>IF(Z3="","",COUNTIF($L$2:$L$48,$Z3))</f>
        <v/>
      </c>
    </row>
    <row r="4" spans="1:42" x14ac:dyDescent="0.4">
      <c r="A4" s="7"/>
      <c r="B4" s="8"/>
      <c r="C4" s="9"/>
      <c r="D4" s="10"/>
      <c r="E4" s="11"/>
      <c r="F4" s="19"/>
      <c r="G4" s="91"/>
      <c r="H4" s="13"/>
      <c r="I4" s="16"/>
      <c r="J4" s="91"/>
      <c r="K4" s="14"/>
      <c r="L4" s="13"/>
      <c r="M4" s="13"/>
      <c r="N4" s="13"/>
      <c r="O4" s="14"/>
      <c r="P4" s="13"/>
      <c r="Q4" s="14"/>
      <c r="R4" s="13"/>
      <c r="S4" s="13"/>
      <c r="T4" s="13"/>
      <c r="U4" s="13"/>
      <c r="V4" s="15"/>
      <c r="W4" s="16">
        <f t="shared" ref="W4:W7" si="0">+W3+1</f>
        <v>3</v>
      </c>
      <c r="X4" s="18" t="str">
        <f>VLOOKUP($W4,'D27'!$K$11:$P$16,2,FALSE)</f>
        <v>GVE1 (Grizzlies)</v>
      </c>
      <c r="Y4" s="17">
        <f>VLOOKUP($W4,'D27'!$K$11:$P$16,3,FALSE)</f>
        <v>0</v>
      </c>
      <c r="Z4" s="18" t="str">
        <f>VLOOKUP($W4,'D27'!$K$11:$P$16,6,FALSE)</f>
        <v>EX-Ship Park</v>
      </c>
      <c r="AA4" s="13">
        <f t="shared" ref="AA4:AA7" si="1">IF(Z4="","",COUNTIF($L$2:$L$48,$Z4))</f>
        <v>2</v>
      </c>
    </row>
    <row r="5" spans="1:42" x14ac:dyDescent="0.4">
      <c r="A5" s="7">
        <v>3</v>
      </c>
      <c r="B5" s="8">
        <f t="shared" ref="B5:B6" si="2">+C5</f>
        <v>46185</v>
      </c>
      <c r="C5" s="9">
        <v>46185</v>
      </c>
      <c r="D5" s="10">
        <v>0.75</v>
      </c>
      <c r="E5" s="11"/>
      <c r="F5" s="12" t="str">
        <f>+R5</f>
        <v>GVE2 (TBD)</v>
      </c>
      <c r="G5" s="91"/>
      <c r="H5" s="13"/>
      <c r="I5" s="20" t="str" cm="1">
        <f t="array" aca="1" ref="I5" ca="1">IF((INDIRECT("SCHEDULE!P"&amp;T5))&gt;0,(IF((INDIRECT("SCHEDULE!G"&amp;T5))&gt;(INDIRECT("SCHEDULE!J"&amp;T5)),(INDIRECT("SCHEDULE!F"&amp;T5)),(INDIRECT("SCHEDULE!I"&amp;T5)))),U5)</f>
        <v>WG-1</v>
      </c>
      <c r="J5" s="91"/>
      <c r="K5" s="14"/>
      <c r="L5" s="13" t="s">
        <v>65</v>
      </c>
      <c r="M5" s="13" t="s">
        <v>16</v>
      </c>
      <c r="N5" s="13"/>
      <c r="O5" s="14"/>
      <c r="P5" s="13">
        <f t="shared" ref="P5:P6" si="3">+G5+J5</f>
        <v>0</v>
      </c>
      <c r="Q5" s="14"/>
      <c r="R5" s="13" t="str">
        <f>+X6</f>
        <v>GVE2 (TBD)</v>
      </c>
      <c r="S5" s="13"/>
      <c r="T5" s="13">
        <v>2</v>
      </c>
      <c r="U5" s="13" t="s">
        <v>17</v>
      </c>
      <c r="V5" s="15"/>
      <c r="W5" s="16">
        <f t="shared" si="0"/>
        <v>4</v>
      </c>
      <c r="X5" s="18" t="str">
        <f>VLOOKUP($W5,'D27'!$K$11:$P$16,2,FALSE)</f>
        <v>Chester Valley</v>
      </c>
      <c r="Y5" s="17">
        <f>VLOOKUP($W5,'D27'!$K$11:$P$16,3,FALSE)</f>
        <v>0</v>
      </c>
      <c r="Z5" s="18" t="str">
        <f>VLOOKUP($W5,'D27'!$K$11:$P$16,6,FALSE)</f>
        <v>CV-Monument Park</v>
      </c>
      <c r="AA5" s="13">
        <f t="shared" si="1"/>
        <v>0</v>
      </c>
    </row>
    <row r="6" spans="1:42" x14ac:dyDescent="0.4">
      <c r="A6" s="7">
        <v>4</v>
      </c>
      <c r="B6" s="8">
        <f t="shared" si="2"/>
        <v>46185</v>
      </c>
      <c r="C6" s="9">
        <v>46185</v>
      </c>
      <c r="D6" s="10">
        <v>0.79166666666666663</v>
      </c>
      <c r="E6" s="11"/>
      <c r="F6" s="20" t="str" cm="1">
        <f t="array" aca="1" ref="F6" ca="1">IF((INDIRECT("SCHEDULE!P"&amp;S6))&gt;0,(IF((INDIRECT("SCHEDULE!G"&amp;S6))&gt;(INDIRECT("SCHEDULE!J"&amp;S6)),(INDIRECT("SCHEDULE!F"&amp;S6)),(INDIRECT("SCHEDULE!I"&amp;S6)))),R6)</f>
        <v>GVE1 (Grizzlies)</v>
      </c>
      <c r="G6" s="91"/>
      <c r="H6" s="13"/>
      <c r="I6" s="12" t="str">
        <f>+U6</f>
        <v>Lower Perk (TBD)</v>
      </c>
      <c r="J6" s="91"/>
      <c r="K6" s="14"/>
      <c r="L6" s="13" t="s">
        <v>65</v>
      </c>
      <c r="M6" s="13" t="s">
        <v>16</v>
      </c>
      <c r="N6" s="13"/>
      <c r="O6" s="14"/>
      <c r="P6" s="13">
        <f t="shared" si="3"/>
        <v>0</v>
      </c>
      <c r="Q6" s="14"/>
      <c r="R6" s="13" t="s">
        <v>18</v>
      </c>
      <c r="S6" s="13">
        <v>3</v>
      </c>
      <c r="T6" s="13"/>
      <c r="U6" s="13" t="str">
        <f>+X7</f>
        <v>Lower Perk (TBD)</v>
      </c>
      <c r="V6" s="15"/>
      <c r="W6" s="16">
        <f t="shared" si="0"/>
        <v>5</v>
      </c>
      <c r="X6" s="18" t="str">
        <f>VLOOKUP($W6,'D27'!$K$11:$P$16,2,FALSE)</f>
        <v>GVE2 (TBD)</v>
      </c>
      <c r="Y6" s="17">
        <f>VLOOKUP($W6,'D27'!$K$11:$P$16,3,FALSE)</f>
        <v>0</v>
      </c>
      <c r="Z6" s="18" t="str">
        <f>VLOOKUP($W6,'D27'!$K$11:$P$16,6,FALSE)</f>
        <v>GV-King Road</v>
      </c>
      <c r="AA6" s="13">
        <f t="shared" si="1"/>
        <v>0</v>
      </c>
    </row>
    <row r="7" spans="1:42" x14ac:dyDescent="0.4">
      <c r="A7" s="7"/>
      <c r="B7" s="8"/>
      <c r="C7" s="9"/>
      <c r="D7" s="10"/>
      <c r="E7" s="21"/>
      <c r="F7" s="19"/>
      <c r="G7" s="91"/>
      <c r="H7" s="13"/>
      <c r="I7" s="16"/>
      <c r="J7" s="91"/>
      <c r="K7" s="14"/>
      <c r="L7" s="13"/>
      <c r="M7" s="19"/>
      <c r="N7" s="13"/>
      <c r="O7" s="13"/>
      <c r="P7" s="13"/>
      <c r="Q7" s="13"/>
      <c r="R7" s="13"/>
      <c r="S7" s="13"/>
      <c r="T7" s="13"/>
      <c r="U7" s="13"/>
      <c r="V7" s="15"/>
      <c r="W7" s="16">
        <f t="shared" si="0"/>
        <v>6</v>
      </c>
      <c r="X7" s="18" t="str">
        <f>VLOOKUP($W7,'D27'!$K$11:$P$16,2,FALSE)</f>
        <v>Lower Perk (TBD)</v>
      </c>
      <c r="Y7" s="17">
        <f>VLOOKUP($W7,'D27'!$K$11:$P$16,3,FALSE)</f>
        <v>0</v>
      </c>
      <c r="Z7" s="18" t="str">
        <f>VLOOKUP($W7,'D27'!$K$11:$P$16,6,FALSE)</f>
        <v>LP-Palmer Park</v>
      </c>
      <c r="AA7" s="13">
        <f t="shared" si="1"/>
        <v>1</v>
      </c>
    </row>
    <row r="8" spans="1:42" ht="29.15" x14ac:dyDescent="0.4">
      <c r="A8" s="7">
        <v>5</v>
      </c>
      <c r="B8" s="22">
        <f t="shared" ref="B8" si="4">+C8</f>
        <v>46188</v>
      </c>
      <c r="C8" s="23">
        <v>46188</v>
      </c>
      <c r="D8" s="24">
        <v>0.79166666666666663</v>
      </c>
      <c r="E8" s="21"/>
      <c r="F8" s="20" t="str" cm="1">
        <f t="array" aca="1" ref="F8" ca="1">IF((INDIRECT("SCHEDULE!P"&amp;S8))&gt;0,(IF((INDIRECT("SCHEDULE!G"&amp;S8))&gt;(INDIRECT("SCHEDULE!J"&amp;S8)),(INDIRECT("SCHEDULE!F"&amp;S8)),(INDIRECT("SCHEDULE!I"&amp;S8)))),R8)</f>
        <v>WG-3</v>
      </c>
      <c r="G8" s="91"/>
      <c r="H8" s="13" t="s">
        <v>15</v>
      </c>
      <c r="I8" s="20" t="str" cm="1">
        <f t="array" aca="1" ref="I8" ca="1">IF((INDIRECT("SCHEDULE!P"&amp;T8))&gt;0,(IF((INDIRECT("SCHEDULE!G"&amp;T8))&gt;(INDIRECT("SCHEDULE!J"&amp;T8)),(INDIRECT("SCHEDULE!F"&amp;T8)),(INDIRECT("SCHEDULE!I"&amp;T8)))),U8)</f>
        <v>WG-4</v>
      </c>
      <c r="J8" s="91"/>
      <c r="K8" s="14"/>
      <c r="L8" s="13" t="s">
        <v>19</v>
      </c>
      <c r="M8" s="25" t="s">
        <v>20</v>
      </c>
      <c r="N8" s="13"/>
      <c r="O8" s="13"/>
      <c r="P8" s="13">
        <f>+G8+J8</f>
        <v>0</v>
      </c>
      <c r="Q8" s="13"/>
      <c r="R8" s="13" t="s">
        <v>21</v>
      </c>
      <c r="S8" s="13">
        <v>5</v>
      </c>
      <c r="T8" s="13">
        <v>6</v>
      </c>
      <c r="U8" s="13" t="s">
        <v>22</v>
      </c>
      <c r="V8" s="15"/>
      <c r="W8" s="13"/>
      <c r="X8" s="26"/>
      <c r="Y8" s="13"/>
      <c r="Z8" s="26"/>
      <c r="AA8" s="13" t="str">
        <f>IF(Z8="","",COUNTIF(#REF!,$Z8))</f>
        <v/>
      </c>
    </row>
    <row r="9" spans="1:42" x14ac:dyDescent="0.4">
      <c r="A9" s="7"/>
      <c r="B9" s="8"/>
      <c r="C9" s="9"/>
      <c r="D9" s="10"/>
      <c r="E9" s="21"/>
      <c r="F9" s="19"/>
      <c r="G9" s="91"/>
      <c r="H9" s="13"/>
      <c r="I9" s="19"/>
      <c r="J9" s="91"/>
      <c r="K9" s="14"/>
      <c r="L9" s="13"/>
      <c r="M9" s="19"/>
      <c r="N9" s="13"/>
      <c r="O9" s="13"/>
      <c r="P9" s="13"/>
      <c r="Q9" s="13"/>
      <c r="R9" s="13"/>
      <c r="S9" s="13"/>
      <c r="T9" s="13"/>
      <c r="U9" s="13"/>
      <c r="W9" s="13"/>
      <c r="X9" s="26"/>
      <c r="Y9" s="13"/>
      <c r="Z9" s="26"/>
      <c r="AA9" s="13" t="str">
        <f>IF(Z9="","",COUNTIF(#REF!,$Z9))</f>
        <v/>
      </c>
    </row>
    <row r="10" spans="1:42" x14ac:dyDescent="0.4">
      <c r="A10" s="75" t="s">
        <v>23</v>
      </c>
      <c r="B10" s="76"/>
      <c r="C10" s="77"/>
      <c r="D10" s="27"/>
      <c r="E10" s="21"/>
      <c r="F10" s="19" t="str" cm="1">
        <f t="array" aca="1" ref="F10" ca="1">IF((INDIRECT("SCHEDULE!P"&amp;S10))&gt;0,(IF((INDIRECT("SCHEDULE!G"&amp;S10))&gt;(INDIRECT("SCHEDULE!J"&amp;S10)),(INDIRECT("SCHEDULE!F"&amp;S10)),(INDIRECT("SCHEDULE!I"&amp;S10)))),R10)</f>
        <v>Champion</v>
      </c>
      <c r="G10" s="91"/>
      <c r="H10" s="13"/>
      <c r="I10" s="19"/>
      <c r="J10" s="91"/>
      <c r="K10" s="14"/>
      <c r="L10" s="13"/>
      <c r="M10" s="19"/>
      <c r="N10" s="13"/>
      <c r="O10" s="14"/>
      <c r="P10" s="13"/>
      <c r="Q10" s="14"/>
      <c r="R10" s="13" t="s">
        <v>23</v>
      </c>
      <c r="S10" s="13">
        <v>8</v>
      </c>
      <c r="T10" s="13"/>
      <c r="U10" s="13"/>
      <c r="W10" s="16"/>
      <c r="X10" s="28" t="s">
        <v>24</v>
      </c>
      <c r="Y10" s="16"/>
      <c r="Z10" s="28"/>
      <c r="AA10" s="16">
        <f>SUM(AA2:AA9)</f>
        <v>4</v>
      </c>
    </row>
    <row r="11" spans="1:42" s="31" customFormat="1" x14ac:dyDescent="0.4">
      <c r="A11" s="29"/>
      <c r="B11" s="29"/>
      <c r="C11" s="30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4"/>
      <c r="Q11" s="29"/>
      <c r="R11" s="29"/>
      <c r="S11" s="29"/>
      <c r="T11" s="29"/>
      <c r="U11" s="4"/>
      <c r="V11" s="29"/>
      <c r="W11" s="4"/>
      <c r="X11" s="4"/>
      <c r="Y11" s="29"/>
      <c r="Z11" s="4"/>
      <c r="AA11" s="4"/>
      <c r="AB11" s="4"/>
      <c r="AC11" s="29"/>
      <c r="AD11" s="4"/>
      <c r="AE11" s="4"/>
      <c r="AF11" s="4"/>
      <c r="AG11" s="29"/>
      <c r="AH11" s="29"/>
      <c r="AI11" s="4"/>
      <c r="AJ11" s="29"/>
      <c r="AK11" s="4"/>
      <c r="AL11" s="4"/>
      <c r="AM11" s="4"/>
      <c r="AN11" s="29"/>
      <c r="AO11" s="29"/>
      <c r="AP11" s="4"/>
    </row>
    <row r="12" spans="1:42" s="31" customFormat="1" x14ac:dyDescent="0.4">
      <c r="A12" s="29"/>
      <c r="B12" s="29"/>
      <c r="C12" s="30"/>
      <c r="D12" s="29"/>
      <c r="E12" s="29"/>
      <c r="F12" s="29"/>
      <c r="G12" s="29"/>
      <c r="H12" s="4"/>
      <c r="I12" s="4"/>
      <c r="J12" s="4"/>
      <c r="K12" s="4"/>
      <c r="L12" s="29"/>
      <c r="M12" s="4"/>
      <c r="N12" s="4"/>
      <c r="O12" s="29"/>
      <c r="P12" s="4"/>
      <c r="Q12" s="29"/>
      <c r="R12" s="29"/>
      <c r="S12" s="29"/>
      <c r="T12" s="29"/>
      <c r="U12" s="4"/>
      <c r="V12" s="29"/>
      <c r="W12" s="4"/>
      <c r="X12" s="4"/>
      <c r="Y12" s="29"/>
      <c r="Z12" s="4"/>
      <c r="AA12" s="4"/>
      <c r="AB12" s="4"/>
      <c r="AC12" s="29"/>
      <c r="AD12" s="4"/>
      <c r="AE12" s="4"/>
      <c r="AF12" s="4"/>
      <c r="AG12" s="29"/>
      <c r="AH12" s="29"/>
      <c r="AI12" s="4"/>
      <c r="AJ12" s="29"/>
      <c r="AK12" s="4"/>
      <c r="AL12" s="4"/>
      <c r="AM12" s="4"/>
      <c r="AN12" s="29"/>
      <c r="AO12" s="29"/>
      <c r="AP12" s="4"/>
    </row>
    <row r="13" spans="1:42" s="31" customFormat="1" x14ac:dyDescent="0.4">
      <c r="A13" s="29"/>
      <c r="B13" s="29"/>
      <c r="C13" s="30"/>
      <c r="D13" s="29"/>
      <c r="E13" s="29"/>
      <c r="F13" s="29"/>
      <c r="G13" s="29"/>
      <c r="H13" s="4"/>
      <c r="I13" s="4"/>
      <c r="J13" s="4"/>
      <c r="K13" s="4"/>
      <c r="L13" s="78" t="s">
        <v>25</v>
      </c>
      <c r="M13" s="78"/>
      <c r="N13" s="4"/>
      <c r="O13" s="29"/>
      <c r="P13" s="4"/>
      <c r="Q13" s="29"/>
      <c r="R13" s="29"/>
      <c r="S13" s="29"/>
      <c r="T13" s="29"/>
      <c r="U13" s="4"/>
      <c r="V13" s="29"/>
      <c r="W13" s="4"/>
      <c r="X13" s="4"/>
      <c r="Y13" s="29"/>
      <c r="Z13" s="4"/>
      <c r="AA13" s="4"/>
      <c r="AB13" s="4"/>
      <c r="AC13" s="29"/>
      <c r="AD13" s="4"/>
      <c r="AE13" s="4"/>
      <c r="AF13" s="4"/>
      <c r="AG13" s="29"/>
      <c r="AH13" s="29"/>
      <c r="AI13" s="4"/>
      <c r="AJ13" s="29"/>
      <c r="AK13" s="4"/>
      <c r="AL13" s="4"/>
      <c r="AM13" s="4"/>
      <c r="AN13" s="29"/>
      <c r="AO13" s="29"/>
      <c r="AP13" s="4"/>
    </row>
    <row r="14" spans="1:42" s="31" customFormat="1" x14ac:dyDescent="0.4">
      <c r="A14" s="29"/>
      <c r="B14" s="29"/>
      <c r="C14" s="30"/>
      <c r="D14" s="29"/>
      <c r="E14" s="4"/>
      <c r="F14" s="4"/>
      <c r="G14" s="29"/>
      <c r="H14" s="4"/>
      <c r="I14" s="4"/>
      <c r="J14" s="4"/>
      <c r="K14" s="4"/>
      <c r="L14" s="78"/>
      <c r="M14" s="78"/>
      <c r="N14" s="4"/>
      <c r="O14" s="29"/>
      <c r="P14" s="4"/>
      <c r="Q14" s="29"/>
      <c r="R14" s="29"/>
      <c r="S14" s="29"/>
      <c r="T14" s="29"/>
      <c r="U14" s="4"/>
      <c r="V14" s="29"/>
      <c r="W14" s="4"/>
      <c r="X14" s="4"/>
      <c r="Y14" s="29"/>
      <c r="Z14" s="4"/>
      <c r="AA14" s="4"/>
      <c r="AB14" s="4"/>
      <c r="AC14" s="29"/>
      <c r="AD14" s="4"/>
      <c r="AE14" s="4"/>
      <c r="AF14" s="4"/>
      <c r="AG14" s="29"/>
      <c r="AH14" s="29"/>
      <c r="AI14" s="4"/>
      <c r="AJ14" s="29"/>
      <c r="AK14" s="4"/>
      <c r="AL14" s="4"/>
      <c r="AM14" s="4"/>
      <c r="AN14" s="29"/>
      <c r="AO14" s="29"/>
      <c r="AP14" s="4"/>
    </row>
    <row r="15" spans="1:42" x14ac:dyDescent="0.4">
      <c r="C15" s="29"/>
      <c r="E15" s="29"/>
      <c r="F15" s="29"/>
      <c r="H15" s="29"/>
      <c r="I15" s="29"/>
      <c r="J15" s="29"/>
      <c r="K15" s="29"/>
      <c r="L15" s="29"/>
      <c r="M15" s="29"/>
      <c r="N15" s="29"/>
      <c r="O15" s="29"/>
      <c r="Q15" s="29"/>
      <c r="V15" s="29"/>
    </row>
    <row r="16" spans="1:42" x14ac:dyDescent="0.4">
      <c r="C16" s="29"/>
      <c r="E16" s="29"/>
      <c r="F16" s="29"/>
      <c r="H16" s="29"/>
      <c r="I16" s="29"/>
      <c r="J16" s="29"/>
      <c r="K16" s="29"/>
      <c r="L16" s="29"/>
      <c r="M16" s="29"/>
      <c r="N16" s="29"/>
      <c r="O16" s="29"/>
      <c r="Q16" s="29"/>
      <c r="V16" s="29"/>
    </row>
    <row r="17" spans="3:22" x14ac:dyDescent="0.4">
      <c r="C17" s="29"/>
      <c r="E17" s="29"/>
      <c r="F17" s="29"/>
      <c r="J17" s="29"/>
      <c r="K17" s="29"/>
      <c r="L17" s="29"/>
      <c r="M17" s="29"/>
      <c r="N17" s="29"/>
      <c r="O17" s="29"/>
      <c r="Q17" s="29"/>
      <c r="V17" s="29"/>
    </row>
    <row r="18" spans="3:22" x14ac:dyDescent="0.4">
      <c r="C18" s="29"/>
      <c r="E18" s="29"/>
      <c r="F18" s="29"/>
      <c r="J18" s="29"/>
      <c r="K18" s="29"/>
      <c r="L18" s="29"/>
      <c r="M18" s="29"/>
      <c r="N18" s="29"/>
      <c r="O18" s="29"/>
      <c r="Q18" s="29"/>
      <c r="V18" s="29"/>
    </row>
    <row r="19" spans="3:22" x14ac:dyDescent="0.4">
      <c r="C19" s="29"/>
      <c r="E19" s="29"/>
      <c r="F19" s="29"/>
      <c r="J19" s="29"/>
      <c r="K19" s="29"/>
      <c r="L19" s="29"/>
      <c r="M19" s="29"/>
      <c r="N19" s="29"/>
      <c r="O19" s="29"/>
      <c r="Q19" s="29"/>
      <c r="V19" s="29"/>
    </row>
    <row r="20" spans="3:22" x14ac:dyDescent="0.4">
      <c r="C20" s="29"/>
      <c r="E20" s="29"/>
      <c r="F20" s="29"/>
      <c r="J20" s="29"/>
      <c r="K20" s="29"/>
      <c r="L20" s="29"/>
      <c r="M20" s="29"/>
      <c r="N20" s="29"/>
      <c r="O20" s="29"/>
      <c r="Q20" s="29"/>
      <c r="V20" s="29"/>
    </row>
    <row r="21" spans="3:22" x14ac:dyDescent="0.4">
      <c r="C21" s="29"/>
      <c r="E21" s="29"/>
      <c r="F21" s="29"/>
      <c r="J21" s="29"/>
      <c r="K21" s="29"/>
      <c r="L21" s="29"/>
      <c r="M21" s="29"/>
      <c r="N21" s="29"/>
      <c r="O21" s="29"/>
      <c r="Q21" s="29"/>
      <c r="V21" s="29"/>
    </row>
    <row r="22" spans="3:22" x14ac:dyDescent="0.4">
      <c r="C22" s="29"/>
      <c r="E22" s="29"/>
      <c r="F22" s="29"/>
      <c r="J22" s="29"/>
      <c r="K22" s="29"/>
      <c r="L22" s="29"/>
      <c r="M22" s="29"/>
      <c r="N22" s="29"/>
      <c r="O22" s="29"/>
      <c r="Q22" s="29"/>
      <c r="V22" s="29"/>
    </row>
    <row r="23" spans="3:22" x14ac:dyDescent="0.4">
      <c r="C23" s="29"/>
      <c r="E23" s="29"/>
      <c r="F23" s="29"/>
      <c r="J23" s="29"/>
      <c r="K23" s="29"/>
      <c r="L23" s="29"/>
      <c r="M23" s="29"/>
      <c r="N23" s="29"/>
      <c r="O23" s="29"/>
      <c r="Q23" s="29"/>
      <c r="V23" s="29"/>
    </row>
    <row r="24" spans="3:22" x14ac:dyDescent="0.4">
      <c r="C24" s="29"/>
      <c r="E24" s="29"/>
      <c r="F24" s="29"/>
      <c r="O24" s="29"/>
      <c r="Q24" s="29"/>
    </row>
    <row r="25" spans="3:22" x14ac:dyDescent="0.4">
      <c r="C25" s="29"/>
      <c r="E25" s="29"/>
      <c r="F25" s="29"/>
      <c r="O25" s="29"/>
      <c r="Q25" s="29"/>
    </row>
    <row r="26" spans="3:22" x14ac:dyDescent="0.4">
      <c r="C26" s="29"/>
      <c r="E26" s="29"/>
      <c r="F26" s="29"/>
      <c r="O26" s="29"/>
      <c r="Q26" s="29"/>
    </row>
    <row r="27" spans="3:22" x14ac:dyDescent="0.4">
      <c r="C27" s="29"/>
      <c r="E27" s="29"/>
      <c r="F27" s="29"/>
      <c r="O27" s="29"/>
      <c r="Q27" s="29"/>
    </row>
    <row r="28" spans="3:22" x14ac:dyDescent="0.4">
      <c r="C28" s="29"/>
      <c r="E28" s="29"/>
      <c r="F28" s="29"/>
      <c r="O28" s="29"/>
      <c r="Q28" s="29"/>
    </row>
    <row r="29" spans="3:22" x14ac:dyDescent="0.4">
      <c r="O29" s="29"/>
      <c r="Q29" s="29"/>
    </row>
    <row r="30" spans="3:22" x14ac:dyDescent="0.4">
      <c r="O30" s="29"/>
      <c r="Q30" s="29"/>
    </row>
    <row r="31" spans="3:22" x14ac:dyDescent="0.4">
      <c r="O31" s="29"/>
      <c r="Q31" s="29"/>
    </row>
    <row r="32" spans="3:22" x14ac:dyDescent="0.4">
      <c r="O32" s="29"/>
      <c r="Q32" s="29"/>
    </row>
    <row r="33" spans="15:17" x14ac:dyDescent="0.4">
      <c r="O33" s="29"/>
      <c r="Q33" s="29"/>
    </row>
    <row r="34" spans="15:17" x14ac:dyDescent="0.4">
      <c r="O34" s="29"/>
      <c r="Q34" s="29"/>
    </row>
    <row r="35" spans="15:17" x14ac:dyDescent="0.4">
      <c r="O35" s="29"/>
      <c r="Q35" s="29"/>
    </row>
    <row r="36" spans="15:17" x14ac:dyDescent="0.4">
      <c r="O36" s="29"/>
      <c r="Q36" s="29"/>
    </row>
    <row r="37" spans="15:17" x14ac:dyDescent="0.4">
      <c r="O37" s="29"/>
      <c r="Q37" s="29"/>
    </row>
    <row r="38" spans="15:17" x14ac:dyDescent="0.4">
      <c r="O38" s="29"/>
      <c r="Q38" s="29"/>
    </row>
    <row r="39" spans="15:17" x14ac:dyDescent="0.4">
      <c r="O39" s="29"/>
      <c r="Q39" s="29"/>
    </row>
    <row r="40" spans="15:17" x14ac:dyDescent="0.4">
      <c r="O40" s="29"/>
      <c r="Q40" s="29"/>
    </row>
    <row r="41" spans="15:17" x14ac:dyDescent="0.4">
      <c r="O41" s="29"/>
      <c r="Q41" s="29"/>
    </row>
    <row r="42" spans="15:17" x14ac:dyDescent="0.4">
      <c r="O42" s="29"/>
      <c r="Q42" s="29"/>
    </row>
    <row r="43" spans="15:17" x14ac:dyDescent="0.4">
      <c r="O43" s="29"/>
      <c r="Q43" s="29"/>
    </row>
    <row r="44" spans="15:17" x14ac:dyDescent="0.4">
      <c r="O44" s="29"/>
      <c r="Q44" s="29"/>
    </row>
    <row r="45" spans="15:17" x14ac:dyDescent="0.4">
      <c r="O45" s="29"/>
      <c r="Q45" s="29"/>
    </row>
    <row r="46" spans="15:17" x14ac:dyDescent="0.4">
      <c r="O46" s="29"/>
      <c r="Q46" s="29"/>
    </row>
    <row r="47" spans="15:17" x14ac:dyDescent="0.4">
      <c r="O47" s="29"/>
      <c r="Q47" s="29"/>
    </row>
    <row r="48" spans="15:17" x14ac:dyDescent="0.4">
      <c r="O48" s="29"/>
      <c r="Q48" s="29"/>
    </row>
    <row r="49" spans="15:17" x14ac:dyDescent="0.4">
      <c r="O49" s="29"/>
      <c r="Q49" s="29"/>
    </row>
    <row r="50" spans="15:17" x14ac:dyDescent="0.4">
      <c r="O50" s="29"/>
      <c r="P50" s="29"/>
      <c r="Q50" s="29"/>
    </row>
  </sheetData>
  <mergeCells count="4">
    <mergeCell ref="F1:J1"/>
    <mergeCell ref="R1:U1"/>
    <mergeCell ref="A10:C10"/>
    <mergeCell ref="L13:M14"/>
  </mergeCells>
  <conditionalFormatting sqref="G2:G10">
    <cfRule type="expression" dxfId="1" priority="2">
      <formula>G2&gt;J2</formula>
    </cfRule>
  </conditionalFormatting>
  <conditionalFormatting sqref="J2:J10">
    <cfRule type="expression" dxfId="0" priority="1">
      <formula>J2&gt;G2</formula>
    </cfRule>
  </conditionalFormatting>
  <pageMargins left="0.25" right="0.25" top="0.75" bottom="0.75" header="0.25" footer="0.25"/>
  <pageSetup scale="65" orientation="landscape" r:id="rId1"/>
  <headerFooter>
    <oddHeader>&amp;F</oddHeader>
    <oddFooter>&amp;L&amp;A&amp;C&amp;D&amp;RPage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67806-409B-4FDE-BFB3-0613A05A7847}">
  <sheetPr>
    <pageSetUpPr fitToPage="1"/>
  </sheetPr>
  <dimension ref="A2:E30"/>
  <sheetViews>
    <sheetView tabSelected="1" workbookViewId="0">
      <selection activeCell="D10" sqref="D10"/>
    </sheetView>
  </sheetViews>
  <sheetFormatPr defaultColWidth="9.15234375" defaultRowHeight="12.9" x14ac:dyDescent="0.4"/>
  <cols>
    <col min="1" max="4" width="22.69140625" style="33" customWidth="1"/>
    <col min="5" max="5" width="27.15234375" style="33" customWidth="1"/>
    <col min="6" max="7" width="12.69140625" style="33" customWidth="1"/>
    <col min="8" max="16384" width="9.15234375" style="33"/>
  </cols>
  <sheetData>
    <row r="2" spans="1:5" x14ac:dyDescent="0.4">
      <c r="D2" s="65" t="s">
        <v>26</v>
      </c>
      <c r="E2" s="79" t="s">
        <v>27</v>
      </c>
    </row>
    <row r="3" spans="1:5" x14ac:dyDescent="0.4">
      <c r="D3" s="66" t="s">
        <v>28</v>
      </c>
      <c r="E3" s="80"/>
    </row>
    <row r="4" spans="1:5" x14ac:dyDescent="0.4">
      <c r="A4" s="69"/>
    </row>
    <row r="5" spans="1:5" ht="20.05" customHeight="1" x14ac:dyDescent="0.4">
      <c r="A5" s="69"/>
      <c r="B5" s="70" t="str">
        <f>IF(SCHEDULE!$P5&lt;1,SCHEDULE!$F5,_xlfn.CONCAT(SCHEDULE!$F5," - ", SCHEDULE!$G5))</f>
        <v>GVE2 (TBD)</v>
      </c>
    </row>
    <row r="6" spans="1:5" ht="20.05" customHeight="1" x14ac:dyDescent="0.4">
      <c r="A6" s="70" t="str">
        <f>IF(SCHEDULE!$P2&lt;1,SCHEDULE!$F2,_xlfn.CONCAT(SCHEDULE!$F2," - ", SCHEDULE!$G2))</f>
        <v>Devon/Strafford</v>
      </c>
      <c r="B6" s="81" t="str">
        <f>_xlfn.CONCAT("(",SCHEDULE!$A5,") - ",TEXT(SCHEDULE!$C5,"DDD M/D")," ",TEXT(SCHEDULE!$D5,"H:MM AM/PM"),"
 (",SCHEDULE!$L5,")")</f>
        <v>(3) - Fri 6/12 6:00 PM
 (EX-Ship Park)</v>
      </c>
      <c r="C6" s="70" t="str">
        <f ca="1">IF(SCHEDULE!$P8&lt;1,SCHEDULE!$F8,_xlfn.CONCAT(SCHEDULE!$F8," - ", SCHEDULE!$G8))</f>
        <v>WG-3</v>
      </c>
    </row>
    <row r="7" spans="1:5" ht="20.05" customHeight="1" x14ac:dyDescent="0.4">
      <c r="A7" s="83" t="str">
        <f>_xlfn.CONCAT("(",SCHEDULE!$A2,") - ",TEXT(SCHEDULE!$C2,"DDD M/D")," ",TEXT(SCHEDULE!$D2,"H:MM AM/PM"),"
 (",SCHEDULE!$L2,")")</f>
        <v>(1) - Wed 6/10 6:00 PM
 (DS-Clarke Field)</v>
      </c>
      <c r="B7" s="82"/>
      <c r="C7" s="85" t="str">
        <f>_xlfn.CONCAT("(",SCHEDULE!$A8,") - ",TEXT(SCHEDULE!$C8,"DDD M/D")," ",TEXT(SCHEDULE!$D8,"H:MM AM/PM"),"
 (",SCHEDULE!$L8,")")</f>
        <v>(5) - Mon 6/15 7:00 PM
 (LP-Palmer Park)</v>
      </c>
    </row>
    <row r="8" spans="1:5" ht="20.05" customHeight="1" x14ac:dyDescent="0.4">
      <c r="A8" s="84"/>
      <c r="B8" s="70" t="str">
        <f ca="1">IF(SCHEDULE!$P5&lt;1,SCHEDULE!$I5,_xlfn.CONCAT(SCHEDULE!$I5," - ", SCHEDULE!$J5))</f>
        <v>WG-1</v>
      </c>
      <c r="C8" s="86"/>
    </row>
    <row r="9" spans="1:5" ht="20.05" customHeight="1" x14ac:dyDescent="0.4">
      <c r="A9" s="70" t="str">
        <f>IF(SCHEDULE!$P2&lt;1,SCHEDULE!$I2,_xlfn.CONCAT(SCHEDULE!$I2," - ", SCHEDULE!$J2))</f>
        <v>Lower Perk (TBD)</v>
      </c>
      <c r="C9" s="86"/>
    </row>
    <row r="10" spans="1:5" ht="20.05" customHeight="1" x14ac:dyDescent="0.4">
      <c r="C10" s="86"/>
      <c r="D10" s="73" t="str">
        <f ca="1">+SCHEDULE!F10</f>
        <v>Champion</v>
      </c>
    </row>
    <row r="11" spans="1:5" ht="20.05" customHeight="1" x14ac:dyDescent="0.4">
      <c r="A11" s="70" t="str">
        <f>IF(SCHEDULE!$P3&lt;1,SCHEDULE!$F3,_xlfn.CONCAT(SCHEDULE!$F3," - ", SCHEDULE!$G3))</f>
        <v>GVE1 (Grizzlies) - 6</v>
      </c>
      <c r="C11" s="86"/>
      <c r="D11" s="71" t="str">
        <f ca="1">IF(D10="CHAMPION","","CHAMPION")</f>
        <v/>
      </c>
    </row>
    <row r="12" spans="1:5" ht="20.05" customHeight="1" x14ac:dyDescent="0.4">
      <c r="A12" s="83" t="str">
        <f>_xlfn.CONCAT("(",SCHEDULE!$A3,") - ",TEXT(SCHEDULE!$C3,"DDD M/D")," ",TEXT(SCHEDULE!$D3,"H:MM AM/PM"),"
 (",SCHEDULE!$L3,")")</f>
        <v>(2) - N/A N/A
 (N/A)</v>
      </c>
      <c r="B12" s="70" t="str">
        <f ca="1">IF(SCHEDULE!$P6&lt;1,SCHEDULE!$F6,_xlfn.CONCAT(SCHEDULE!$F6," - ", SCHEDULE!$G6))</f>
        <v>GVE1 (Grizzlies)</v>
      </c>
      <c r="C12" s="86"/>
    </row>
    <row r="13" spans="1:5" ht="20.05" customHeight="1" x14ac:dyDescent="0.4">
      <c r="A13" s="84"/>
      <c r="B13" s="81" t="str">
        <f>_xlfn.CONCAT("(",SCHEDULE!$A6,") - ",TEXT(SCHEDULE!$C6,"DDD M/D")," ",TEXT(SCHEDULE!$D6,"H:MM AM/PM"),"
 (",SCHEDULE!$L6,")")</f>
        <v>(4) - Fri 6/12 7:00 PM
 (EX-Ship Park)</v>
      </c>
      <c r="C13" s="87"/>
    </row>
    <row r="14" spans="1:5" ht="20.05" customHeight="1" x14ac:dyDescent="0.4">
      <c r="A14" s="70" t="str">
        <f>IF(SCHEDULE!$P3&lt;1,SCHEDULE!$I3,_xlfn.CONCAT(SCHEDULE!$I3," - ", SCHEDULE!$J3))</f>
        <v>Chester Valley - 0</v>
      </c>
      <c r="B14" s="82"/>
      <c r="C14" s="70" t="str">
        <f ca="1">IF(SCHEDULE!$P8&lt;1,SCHEDULE!$I8,_xlfn.CONCAT(SCHEDULE!$I8," - ", SCHEDULE!$J8))</f>
        <v>WG-4</v>
      </c>
    </row>
    <row r="15" spans="1:5" ht="20.05" customHeight="1" x14ac:dyDescent="0.4">
      <c r="B15" s="70" t="str">
        <f>IF(SCHEDULE!$P6&lt;1,SCHEDULE!$I6,_xlfn.CONCAT(SCHEDULE!$I6," - ", SCHEDULE!$J6))</f>
        <v>Lower Perk (TBD)</v>
      </c>
    </row>
    <row r="16" spans="1:5" ht="14.6" x14ac:dyDescent="0.4">
      <c r="A16" s="67"/>
      <c r="B16" s="67"/>
      <c r="C16" s="67"/>
      <c r="D16" s="68"/>
    </row>
    <row r="17" s="33" customFormat="1" x14ac:dyDescent="0.4"/>
    <row r="18" s="33" customFormat="1" x14ac:dyDescent="0.4"/>
    <row r="19" s="33" customFormat="1" x14ac:dyDescent="0.4"/>
    <row r="20" s="33" customFormat="1" x14ac:dyDescent="0.4"/>
    <row r="21" s="33" customFormat="1" x14ac:dyDescent="0.4"/>
    <row r="22" s="33" customFormat="1" x14ac:dyDescent="0.4"/>
    <row r="23" s="33" customFormat="1" x14ac:dyDescent="0.4"/>
    <row r="24" s="33" customFormat="1" x14ac:dyDescent="0.4"/>
    <row r="25" s="33" customFormat="1" x14ac:dyDescent="0.4"/>
    <row r="26" s="33" customFormat="1" x14ac:dyDescent="0.4"/>
    <row r="27" s="33" customFormat="1" x14ac:dyDescent="0.4"/>
    <row r="28" s="33" customFormat="1" x14ac:dyDescent="0.4"/>
    <row r="29" s="33" customFormat="1" x14ac:dyDescent="0.4"/>
    <row r="30" s="33" customFormat="1" x14ac:dyDescent="0.4"/>
  </sheetData>
  <mergeCells count="6">
    <mergeCell ref="E2:E3"/>
    <mergeCell ref="B6:B7"/>
    <mergeCell ref="A7:A8"/>
    <mergeCell ref="C7:C13"/>
    <mergeCell ref="A12:A13"/>
    <mergeCell ref="B13:B14"/>
  </mergeCells>
  <pageMargins left="0.25" right="0.25" top="0.75" bottom="0.75" header="0.25" footer="0.25"/>
  <pageSetup orientation="landscape" r:id="rId1"/>
  <headerFooter>
    <oddHeader>&amp;F</oddHeader>
    <oddFooter>&amp;L&amp;A&amp;C&amp;D&amp;RPage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49020-575F-428B-B415-CC06594C22C7}">
  <dimension ref="A1:R23"/>
  <sheetViews>
    <sheetView zoomScaleNormal="100" workbookViewId="0">
      <selection activeCell="A2" sqref="A2:R6"/>
    </sheetView>
  </sheetViews>
  <sheetFormatPr defaultColWidth="9.15234375" defaultRowHeight="12.9" x14ac:dyDescent="0.35"/>
  <cols>
    <col min="1" max="1" width="13.15234375" style="48" bestFit="1" customWidth="1"/>
    <col min="2" max="2" width="3.3828125" style="48" bestFit="1" customWidth="1"/>
    <col min="3" max="3" width="17.921875" style="48" customWidth="1"/>
    <col min="4" max="4" width="11.69140625" style="61" bestFit="1" customWidth="1"/>
    <col min="5" max="5" width="13" style="48" bestFit="1" customWidth="1"/>
    <col min="6" max="6" width="2.69140625" style="48" customWidth="1"/>
    <col min="7" max="7" width="20" style="49" bestFit="1" customWidth="1"/>
    <col min="8" max="8" width="5.69140625" style="48" bestFit="1" customWidth="1"/>
    <col min="9" max="9" width="19.07421875" style="49" customWidth="1"/>
    <col min="10" max="10" width="20" style="49" bestFit="1" customWidth="1"/>
    <col min="11" max="11" width="6" style="49" bestFit="1" customWidth="1"/>
    <col min="12" max="12" width="20" style="49" bestFit="1" customWidth="1"/>
    <col min="13" max="13" width="14.61328125" style="49" customWidth="1"/>
    <col min="14" max="14" width="12.23046875" style="49" customWidth="1"/>
    <col min="15" max="16" width="16.69140625" style="49" bestFit="1" customWidth="1"/>
    <col min="17" max="17" width="13.3828125" style="49" bestFit="1" customWidth="1"/>
    <col min="18" max="18" width="7.23046875" style="49" bestFit="1" customWidth="1"/>
    <col min="19" max="16384" width="9.15234375" style="36"/>
  </cols>
  <sheetData>
    <row r="1" spans="1:18" x14ac:dyDescent="0.35">
      <c r="A1" s="34" t="str">
        <f>+SCHEDULE!A1</f>
        <v>G #</v>
      </c>
      <c r="B1" s="34" t="s">
        <v>29</v>
      </c>
      <c r="C1" s="34" t="str">
        <f>+SCHEDULE!B1</f>
        <v>Day</v>
      </c>
      <c r="D1" s="34" t="str">
        <f>+SCHEDULE!C1</f>
        <v>Date</v>
      </c>
      <c r="E1" s="34" t="str">
        <f>+SCHEDULE!D1</f>
        <v>Time</v>
      </c>
      <c r="F1" s="35"/>
      <c r="G1" s="88" t="str">
        <f>+SCHEDULE!F1</f>
        <v>Teams &amp; Scores</v>
      </c>
      <c r="H1" s="89"/>
      <c r="I1" s="89"/>
      <c r="J1" s="89"/>
      <c r="K1" s="90"/>
      <c r="L1" s="34" t="str">
        <f>+SCHEDULE!L1</f>
        <v>Host/Park/Field</v>
      </c>
      <c r="M1" s="34" t="str">
        <f>+SCHEDULE!M1</f>
        <v>Umpire(s)</v>
      </c>
      <c r="N1" s="34" t="s">
        <v>30</v>
      </c>
      <c r="O1" s="34" t="s">
        <v>31</v>
      </c>
      <c r="P1" s="34" t="s">
        <v>32</v>
      </c>
      <c r="Q1" s="34" t="s">
        <v>33</v>
      </c>
      <c r="R1" s="34" t="s">
        <v>34</v>
      </c>
    </row>
    <row r="2" spans="1:18" ht="14.6" x14ac:dyDescent="0.35">
      <c r="A2" s="37" t="str">
        <f>CONCATENATE($C$23,"-",B2)</f>
        <v>BB-BobJones-1</v>
      </c>
      <c r="B2" s="37">
        <v>1</v>
      </c>
      <c r="C2" s="38">
        <f>VLOOKUP($B2,SCHEDULE!$A$2:$M$8,2,FALSE)</f>
        <v>46183</v>
      </c>
      <c r="D2" s="39">
        <f>VLOOKUP($B2,SCHEDULE!$A$2:$M$8,3,FALSE)</f>
        <v>46183</v>
      </c>
      <c r="E2" s="40">
        <f>VLOOKUP($B2,SCHEDULE!$A$2:$M$8,4,FALSE)</f>
        <v>0.75</v>
      </c>
      <c r="F2" s="40"/>
      <c r="G2" s="41" t="str">
        <f>VLOOKUP($B2,SCHEDULE!$A$2:$M$8,6,FALSE)</f>
        <v>Devon/Strafford</v>
      </c>
      <c r="H2" s="42">
        <f>VLOOKUP($B2,SCHEDULE!$A$2:$M$8,7,FALSE)</f>
        <v>0</v>
      </c>
      <c r="I2" s="42" t="str">
        <f>VLOOKUP($B2,SCHEDULE!$A$2:$M$8,8,FALSE)</f>
        <v>vs</v>
      </c>
      <c r="J2" s="41" t="str">
        <f>VLOOKUP($B2,SCHEDULE!$A$2:$M$8,9,FALSE)</f>
        <v>Lower Perk (TBD)</v>
      </c>
      <c r="K2" s="42">
        <f>VLOOKUP($B2,SCHEDULE!$A$2:$M$8,10,FALSE)</f>
        <v>0</v>
      </c>
      <c r="L2" s="42" t="str">
        <f>VLOOKUP($B2,SCHEDULE!$A$2:$M$8,12,FALSE)</f>
        <v>DS-Clarke Field</v>
      </c>
      <c r="M2" s="42" t="str">
        <f>VLOOKUP($B2,SCHEDULE!$A$2:$M$8,13,FALSE)</f>
        <v>Local Umpires</v>
      </c>
      <c r="N2" s="43" t="s">
        <v>35</v>
      </c>
      <c r="O2" s="42" t="s">
        <v>26</v>
      </c>
      <c r="P2" s="42" t="str">
        <f>+C23</f>
        <v>BB-BobJones</v>
      </c>
      <c r="Q2" s="42"/>
      <c r="R2" s="42"/>
    </row>
    <row r="3" spans="1:18" ht="14.6" x14ac:dyDescent="0.35">
      <c r="A3" s="37" t="str">
        <f t="shared" ref="A3:A6" si="0">CONCATENATE($C$23,"-",B3)</f>
        <v>BB-BobJones-2</v>
      </c>
      <c r="B3" s="37">
        <v>2</v>
      </c>
      <c r="C3" s="38" t="str">
        <f>VLOOKUP($B3,SCHEDULE!$A$2:$M$8,2,FALSE)</f>
        <v>N/A</v>
      </c>
      <c r="D3" s="39" t="str">
        <f>VLOOKUP($B3,SCHEDULE!$A$2:$M$8,3,FALSE)</f>
        <v>N/A</v>
      </c>
      <c r="E3" s="40" t="str">
        <f>VLOOKUP($B3,SCHEDULE!$A$2:$M$8,4,FALSE)</f>
        <v>N/A</v>
      </c>
      <c r="F3" s="40"/>
      <c r="G3" s="41" t="str">
        <f>VLOOKUP($B3,SCHEDULE!$A$2:$M$8,6,FALSE)</f>
        <v>GVE1 (Grizzlies)</v>
      </c>
      <c r="H3" s="42">
        <f>VLOOKUP($B3,SCHEDULE!$A$2:$M$8,7,FALSE)</f>
        <v>6</v>
      </c>
      <c r="I3" s="42" t="str">
        <f>VLOOKUP($B3,SCHEDULE!$A$2:$M$8,8,FALSE)</f>
        <v>vs</v>
      </c>
      <c r="J3" s="41" t="str">
        <f>VLOOKUP($B3,SCHEDULE!$A$2:$M$8,9,FALSE)</f>
        <v>Chester Valley</v>
      </c>
      <c r="K3" s="42">
        <f>VLOOKUP($B3,SCHEDULE!$A$2:$M$8,10,FALSE)</f>
        <v>0</v>
      </c>
      <c r="L3" s="42" t="str">
        <f>VLOOKUP($B3,SCHEDULE!$A$2:$M$8,12,FALSE)</f>
        <v>N/A</v>
      </c>
      <c r="M3" s="42" t="str">
        <f>VLOOKUP($B3,SCHEDULE!$A$2:$M$8,13,FALSE)</f>
        <v>N/A</v>
      </c>
      <c r="N3" s="43" t="s">
        <v>35</v>
      </c>
      <c r="O3" s="42" t="s">
        <v>26</v>
      </c>
      <c r="P3" s="42" t="str">
        <f>+P2</f>
        <v>BB-BobJones</v>
      </c>
      <c r="Q3" s="42"/>
      <c r="R3" s="42"/>
    </row>
    <row r="4" spans="1:18" ht="14.6" x14ac:dyDescent="0.35">
      <c r="A4" s="37" t="str">
        <f t="shared" si="0"/>
        <v>BB-BobJones-3</v>
      </c>
      <c r="B4" s="37">
        <v>3</v>
      </c>
      <c r="C4" s="38">
        <f>VLOOKUP($B4,SCHEDULE!$A$2:$M$8,2,FALSE)</f>
        <v>46185</v>
      </c>
      <c r="D4" s="39">
        <f>VLOOKUP($B4,SCHEDULE!$A$2:$M$8,3,FALSE)</f>
        <v>46185</v>
      </c>
      <c r="E4" s="40">
        <f>VLOOKUP($B4,SCHEDULE!$A$2:$M$8,4,FALSE)</f>
        <v>0.75</v>
      </c>
      <c r="F4" s="40"/>
      <c r="G4" s="41" t="str">
        <f>VLOOKUP($B4,SCHEDULE!$A$2:$M$8,6,FALSE)</f>
        <v>GVE2 (TBD)</v>
      </c>
      <c r="H4" s="42">
        <f>VLOOKUP($B4,SCHEDULE!$A$2:$M$8,7,FALSE)</f>
        <v>0</v>
      </c>
      <c r="I4" s="42">
        <f>VLOOKUP($B4,SCHEDULE!$A$2:$M$8,8,FALSE)</f>
        <v>0</v>
      </c>
      <c r="J4" s="44" t="str">
        <f ca="1">VLOOKUP($B4,SCHEDULE!$A$2:$M$8,9,FALSE)</f>
        <v>WG-1</v>
      </c>
      <c r="K4" s="42">
        <f>VLOOKUP($B4,SCHEDULE!$A$2:$M$8,10,FALSE)</f>
        <v>0</v>
      </c>
      <c r="L4" s="42" t="str">
        <f>VLOOKUP($B4,SCHEDULE!$A$2:$M$8,12,FALSE)</f>
        <v>EX-Ship Park</v>
      </c>
      <c r="M4" s="42" t="str">
        <f>VLOOKUP($B4,SCHEDULE!$A$2:$M$8,13,FALSE)</f>
        <v>Local Umpires</v>
      </c>
      <c r="N4" s="43" t="s">
        <v>35</v>
      </c>
      <c r="O4" s="42" t="s">
        <v>26</v>
      </c>
      <c r="P4" s="42" t="str">
        <f t="shared" ref="P4:P6" si="1">+P3</f>
        <v>BB-BobJones</v>
      </c>
      <c r="Q4" s="42"/>
      <c r="R4" s="42"/>
    </row>
    <row r="5" spans="1:18" ht="14.6" x14ac:dyDescent="0.35">
      <c r="A5" s="37" t="str">
        <f t="shared" si="0"/>
        <v>BB-BobJones-4</v>
      </c>
      <c r="B5" s="37">
        <v>4</v>
      </c>
      <c r="C5" s="38">
        <f>VLOOKUP($B5,SCHEDULE!$A$2:$M$8,2,FALSE)</f>
        <v>46185</v>
      </c>
      <c r="D5" s="39">
        <f>VLOOKUP($B5,SCHEDULE!$A$2:$M$8,3,FALSE)</f>
        <v>46185</v>
      </c>
      <c r="E5" s="40">
        <f>VLOOKUP($B5,SCHEDULE!$A$2:$M$8,4,FALSE)</f>
        <v>0.79166666666666663</v>
      </c>
      <c r="F5" s="40"/>
      <c r="G5" s="44" t="str">
        <f ca="1">VLOOKUP($B5,SCHEDULE!$A$2:$M$8,6,FALSE)</f>
        <v>GVE1 (Grizzlies)</v>
      </c>
      <c r="H5" s="42">
        <f>VLOOKUP($B5,SCHEDULE!$A$2:$M$8,7,FALSE)</f>
        <v>0</v>
      </c>
      <c r="I5" s="42">
        <f>VLOOKUP($B5,SCHEDULE!$A$2:$M$8,8,FALSE)</f>
        <v>0</v>
      </c>
      <c r="J5" s="41" t="str">
        <f>VLOOKUP($B5,SCHEDULE!$A$2:$M$8,9,FALSE)</f>
        <v>Lower Perk (TBD)</v>
      </c>
      <c r="K5" s="42">
        <f>VLOOKUP($B5,SCHEDULE!$A$2:$M$8,10,FALSE)</f>
        <v>0</v>
      </c>
      <c r="L5" s="42" t="str">
        <f>VLOOKUP($B5,SCHEDULE!$A$2:$M$8,12,FALSE)</f>
        <v>EX-Ship Park</v>
      </c>
      <c r="M5" s="42" t="str">
        <f>VLOOKUP($B5,SCHEDULE!$A$2:$M$8,13,FALSE)</f>
        <v>Local Umpires</v>
      </c>
      <c r="N5" s="43" t="s">
        <v>35</v>
      </c>
      <c r="O5" s="42" t="s">
        <v>26</v>
      </c>
      <c r="P5" s="42" t="str">
        <f t="shared" si="1"/>
        <v>BB-BobJones</v>
      </c>
      <c r="Q5" s="42"/>
      <c r="R5" s="42"/>
    </row>
    <row r="6" spans="1:18" ht="25.75" x14ac:dyDescent="0.35">
      <c r="A6" s="37" t="str">
        <f t="shared" si="0"/>
        <v>BB-BobJones-5</v>
      </c>
      <c r="B6" s="37">
        <v>5</v>
      </c>
      <c r="C6" s="45">
        <f>VLOOKUP($B6,SCHEDULE!$A$2:$M$8,2,FALSE)</f>
        <v>46188</v>
      </c>
      <c r="D6" s="46">
        <f>VLOOKUP($B6,SCHEDULE!$A$2:$M$8,3,FALSE)</f>
        <v>46188</v>
      </c>
      <c r="E6" s="47">
        <f>VLOOKUP($B6,SCHEDULE!$A$2:$M$8,4,FALSE)</f>
        <v>0.79166666666666663</v>
      </c>
      <c r="F6" s="40"/>
      <c r="G6" s="44" t="str">
        <f ca="1">VLOOKUP($B6,SCHEDULE!$A$2:$M$8,6,FALSE)</f>
        <v>WG-3</v>
      </c>
      <c r="H6" s="42">
        <f>VLOOKUP($B6,SCHEDULE!$A$2:$M$8,7,FALSE)</f>
        <v>0</v>
      </c>
      <c r="I6" s="42" t="str">
        <f>VLOOKUP($B6,SCHEDULE!$A$2:$M$8,8,FALSE)</f>
        <v>vs</v>
      </c>
      <c r="J6" s="44" t="str">
        <f ca="1">VLOOKUP($B6,SCHEDULE!$A$2:$M$8,9,FALSE)</f>
        <v>WG-4</v>
      </c>
      <c r="K6" s="42">
        <f>VLOOKUP($B6,SCHEDULE!$A$2:$M$8,10,FALSE)</f>
        <v>0</v>
      </c>
      <c r="L6" s="42" t="str">
        <f>VLOOKUP($B6,SCHEDULE!$A$2:$M$8,12,FALSE)</f>
        <v>LP-Palmer Park</v>
      </c>
      <c r="M6" s="72" t="str">
        <f>VLOOKUP($B6,SCHEDULE!$A$2:$M$8,13,FALSE)</f>
        <v>Assigned by 
D27 Gary Hall</v>
      </c>
      <c r="N6" s="43" t="s">
        <v>35</v>
      </c>
      <c r="O6" s="42" t="s">
        <v>26</v>
      </c>
      <c r="P6" s="42" t="str">
        <f t="shared" si="1"/>
        <v>BB-BobJones</v>
      </c>
      <c r="Q6" s="42" t="s">
        <v>33</v>
      </c>
      <c r="R6" s="42"/>
    </row>
    <row r="7" spans="1:18" x14ac:dyDescent="0.35">
      <c r="D7" s="48"/>
      <c r="G7" s="48"/>
    </row>
    <row r="8" spans="1:18" x14ac:dyDescent="0.35">
      <c r="D8" s="48"/>
      <c r="G8" s="48"/>
    </row>
    <row r="9" spans="1:18" x14ac:dyDescent="0.35">
      <c r="D9" s="48"/>
      <c r="G9" s="48"/>
    </row>
    <row r="10" spans="1:18" x14ac:dyDescent="0.35">
      <c r="A10" s="36"/>
      <c r="B10" s="50" t="s">
        <v>10</v>
      </c>
      <c r="C10" s="50" t="s">
        <v>11</v>
      </c>
      <c r="D10" s="50" t="s">
        <v>37</v>
      </c>
      <c r="E10" s="50" t="s">
        <v>39</v>
      </c>
      <c r="F10" s="50"/>
      <c r="G10" s="50" t="s">
        <v>38</v>
      </c>
      <c r="H10" s="50" t="s">
        <v>40</v>
      </c>
      <c r="I10" s="51" t="s">
        <v>13</v>
      </c>
      <c r="J10" s="50" t="s">
        <v>41</v>
      </c>
      <c r="K10" s="50" t="s">
        <v>42</v>
      </c>
      <c r="L10" s="50" t="str">
        <f t="shared" ref="L10:L16" si="2">+C10</f>
        <v>Team</v>
      </c>
      <c r="M10" s="50" t="s">
        <v>12</v>
      </c>
      <c r="N10" s="50" t="str">
        <f t="shared" ref="N10:O16" si="3">+D10</f>
        <v>Manager</v>
      </c>
      <c r="O10" s="50" t="str">
        <f t="shared" si="3"/>
        <v>Cell Phone</v>
      </c>
      <c r="P10" s="50" t="str">
        <f>+I10</f>
        <v>Park</v>
      </c>
      <c r="Q10" s="36"/>
      <c r="R10" s="36"/>
    </row>
    <row r="11" spans="1:18" x14ac:dyDescent="0.35">
      <c r="A11" s="36"/>
      <c r="B11" s="52">
        <v>1</v>
      </c>
      <c r="C11" s="62" t="s">
        <v>47</v>
      </c>
      <c r="D11" s="63" t="s">
        <v>60</v>
      </c>
      <c r="E11" s="63" t="s">
        <v>61</v>
      </c>
      <c r="F11" s="63"/>
      <c r="G11" s="63" t="s">
        <v>62</v>
      </c>
      <c r="H11" s="64" t="s">
        <v>48</v>
      </c>
      <c r="I11" s="63" t="s">
        <v>55</v>
      </c>
      <c r="J11" s="64">
        <v>6.06</v>
      </c>
      <c r="K11" s="53">
        <f t="shared" ref="K11:K16" si="4">RANK($J11,J$11:J$16,1)</f>
        <v>1</v>
      </c>
      <c r="L11" s="54" t="str">
        <f t="shared" si="2"/>
        <v>Devon/Strafford</v>
      </c>
      <c r="M11" s="54"/>
      <c r="N11" s="52" t="str">
        <f t="shared" si="3"/>
        <v>Joe Cecco</v>
      </c>
      <c r="O11" s="52" t="str">
        <f t="shared" si="3"/>
        <v>610-551-4684</v>
      </c>
      <c r="P11" s="54" t="str">
        <f>IF(I11&lt;&gt;"",I11,"")</f>
        <v>DS-Clarke Field</v>
      </c>
      <c r="Q11" s="36"/>
      <c r="R11" s="36"/>
    </row>
    <row r="12" spans="1:18" x14ac:dyDescent="0.35">
      <c r="A12" s="36"/>
      <c r="B12" s="52">
        <f>+B11+1</f>
        <v>2</v>
      </c>
      <c r="C12" s="62" t="s">
        <v>43</v>
      </c>
      <c r="D12" s="63"/>
      <c r="E12" s="63"/>
      <c r="F12" s="64"/>
      <c r="G12" s="64"/>
      <c r="H12" s="64" t="s">
        <v>44</v>
      </c>
      <c r="I12" s="63" t="s">
        <v>54</v>
      </c>
      <c r="J12" s="64">
        <v>11.08</v>
      </c>
      <c r="K12" s="53">
        <f t="shared" si="4"/>
        <v>4</v>
      </c>
      <c r="L12" s="54" t="str">
        <f t="shared" si="2"/>
        <v>Chester Valley</v>
      </c>
      <c r="M12" s="54"/>
      <c r="N12" s="52">
        <f t="shared" si="3"/>
        <v>0</v>
      </c>
      <c r="O12" s="52">
        <f t="shared" si="3"/>
        <v>0</v>
      </c>
      <c r="P12" s="54" t="str">
        <f t="shared" ref="P12:P16" si="5">IF(I12&lt;&gt;"",I12,"")</f>
        <v>CV-Monument Park</v>
      </c>
      <c r="Q12" s="36"/>
      <c r="R12" s="36"/>
    </row>
    <row r="13" spans="1:18" x14ac:dyDescent="0.35">
      <c r="A13" s="36"/>
      <c r="B13" s="52">
        <f>+B12+1</f>
        <v>3</v>
      </c>
      <c r="C13" s="62" t="s">
        <v>58</v>
      </c>
      <c r="D13" s="63" t="s">
        <v>57</v>
      </c>
      <c r="E13" s="63"/>
      <c r="F13" s="64"/>
      <c r="G13" s="64"/>
      <c r="H13" s="64" t="s">
        <v>49</v>
      </c>
      <c r="I13" s="63" t="s">
        <v>65</v>
      </c>
      <c r="J13" s="64">
        <v>11.05</v>
      </c>
      <c r="K13" s="53">
        <f t="shared" si="4"/>
        <v>3</v>
      </c>
      <c r="L13" s="54" t="str">
        <f t="shared" si="2"/>
        <v>GVE1 (Grizzlies)</v>
      </c>
      <c r="M13" s="54"/>
      <c r="N13" s="52" t="str">
        <f t="shared" si="3"/>
        <v>Rich Boyd</v>
      </c>
      <c r="O13" s="52">
        <f t="shared" si="3"/>
        <v>0</v>
      </c>
      <c r="P13" s="54" t="str">
        <f t="shared" si="5"/>
        <v>EX-Ship Park</v>
      </c>
      <c r="Q13" s="36"/>
      <c r="R13" s="36"/>
    </row>
    <row r="14" spans="1:18" x14ac:dyDescent="0.35">
      <c r="A14" s="36"/>
      <c r="B14" s="52">
        <v>4</v>
      </c>
      <c r="C14" s="62" t="s">
        <v>63</v>
      </c>
      <c r="D14" s="63"/>
      <c r="E14" s="63"/>
      <c r="F14" s="64"/>
      <c r="G14" s="64"/>
      <c r="H14" s="64" t="s">
        <v>50</v>
      </c>
      <c r="I14" s="63" t="s">
        <v>53</v>
      </c>
      <c r="J14" s="64">
        <v>11.09</v>
      </c>
      <c r="K14" s="53">
        <f t="shared" si="4"/>
        <v>5</v>
      </c>
      <c r="L14" s="54" t="str">
        <f t="shared" si="2"/>
        <v>GVE2 (TBD)</v>
      </c>
      <c r="M14" s="54"/>
      <c r="N14" s="52">
        <f t="shared" si="3"/>
        <v>0</v>
      </c>
      <c r="O14" s="52">
        <f t="shared" si="3"/>
        <v>0</v>
      </c>
      <c r="P14" s="54" t="str">
        <f t="shared" si="5"/>
        <v>GV-King Road</v>
      </c>
      <c r="Q14" s="36"/>
      <c r="R14" s="36"/>
    </row>
    <row r="15" spans="1:18" x14ac:dyDescent="0.35">
      <c r="A15" s="36"/>
      <c r="B15" s="52">
        <v>5</v>
      </c>
      <c r="C15" s="62" t="s">
        <v>64</v>
      </c>
      <c r="D15" s="63" t="s">
        <v>59</v>
      </c>
      <c r="E15" s="63"/>
      <c r="F15" s="64"/>
      <c r="G15" s="64"/>
      <c r="H15" s="64" t="s">
        <v>51</v>
      </c>
      <c r="I15" s="63" t="s">
        <v>19</v>
      </c>
      <c r="J15" s="64">
        <v>14.04</v>
      </c>
      <c r="K15" s="53">
        <f t="shared" si="4"/>
        <v>6</v>
      </c>
      <c r="L15" s="54" t="str">
        <f t="shared" si="2"/>
        <v>Lower Perk (TBD)</v>
      </c>
      <c r="M15" s="54"/>
      <c r="N15" s="52" t="str">
        <f t="shared" si="3"/>
        <v>Doug Ervin</v>
      </c>
      <c r="O15" s="52">
        <f t="shared" si="3"/>
        <v>0</v>
      </c>
      <c r="P15" s="54" t="str">
        <f t="shared" si="5"/>
        <v>LP-Palmer Park</v>
      </c>
      <c r="Q15" s="36"/>
      <c r="R15" s="36"/>
    </row>
    <row r="16" spans="1:18" x14ac:dyDescent="0.35">
      <c r="A16" s="36"/>
      <c r="B16" s="52">
        <v>6</v>
      </c>
      <c r="C16" s="62" t="s">
        <v>64</v>
      </c>
      <c r="D16" s="63" t="s">
        <v>59</v>
      </c>
      <c r="E16" s="63"/>
      <c r="F16" s="64"/>
      <c r="G16" s="64"/>
      <c r="H16" s="64" t="s">
        <v>52</v>
      </c>
      <c r="I16" s="63"/>
      <c r="J16" s="64">
        <v>8.08</v>
      </c>
      <c r="K16" s="53">
        <f t="shared" si="4"/>
        <v>2</v>
      </c>
      <c r="L16" s="54" t="str">
        <f t="shared" si="2"/>
        <v>Lower Perk (TBD)</v>
      </c>
      <c r="M16" s="54"/>
      <c r="N16" s="52" t="str">
        <f t="shared" si="3"/>
        <v>Doug Ervin</v>
      </c>
      <c r="O16" s="52">
        <f t="shared" si="3"/>
        <v>0</v>
      </c>
      <c r="P16" s="54" t="str">
        <f t="shared" si="5"/>
        <v/>
      </c>
      <c r="Q16" s="36"/>
      <c r="R16" s="36"/>
    </row>
    <row r="17" spans="2:16" s="36" customFormat="1" x14ac:dyDescent="0.35">
      <c r="B17" s="37"/>
      <c r="C17" s="55"/>
      <c r="D17" s="56"/>
      <c r="E17" s="56"/>
      <c r="F17" s="57"/>
      <c r="G17" s="57"/>
      <c r="H17" s="57"/>
      <c r="I17" s="56"/>
      <c r="J17" s="57"/>
      <c r="K17" s="57"/>
      <c r="L17" s="44"/>
      <c r="M17" s="44"/>
      <c r="N17" s="37"/>
      <c r="O17" s="37"/>
      <c r="P17" s="44"/>
    </row>
    <row r="18" spans="2:16" s="36" customFormat="1" x14ac:dyDescent="0.35">
      <c r="B18" s="37"/>
      <c r="C18" s="55"/>
      <c r="D18" s="56"/>
      <c r="E18" s="56"/>
      <c r="F18" s="57"/>
      <c r="G18" s="57"/>
      <c r="H18" s="57"/>
      <c r="I18" s="56"/>
      <c r="J18" s="57"/>
      <c r="K18" s="57"/>
      <c r="L18" s="44"/>
      <c r="M18" s="44"/>
      <c r="N18" s="37"/>
      <c r="O18" s="37"/>
      <c r="P18" s="44"/>
    </row>
    <row r="19" spans="2:16" s="36" customFormat="1" x14ac:dyDescent="0.35">
      <c r="B19" s="37"/>
      <c r="C19" s="55"/>
      <c r="D19" s="56"/>
      <c r="E19" s="56"/>
      <c r="F19" s="57"/>
      <c r="G19" s="57"/>
      <c r="H19" s="57"/>
      <c r="I19" s="56"/>
      <c r="J19" s="57"/>
      <c r="K19" s="57"/>
      <c r="L19" s="44"/>
      <c r="M19" s="44"/>
      <c r="N19" s="37"/>
      <c r="O19" s="37"/>
      <c r="P19" s="44"/>
    </row>
    <row r="20" spans="2:16" s="36" customFormat="1" x14ac:dyDescent="0.35">
      <c r="H20" s="58"/>
    </row>
    <row r="21" spans="2:16" s="36" customFormat="1" x14ac:dyDescent="0.35">
      <c r="H21" s="58"/>
    </row>
    <row r="22" spans="2:16" s="36" customFormat="1" x14ac:dyDescent="0.35">
      <c r="C22" s="59" t="s">
        <v>56</v>
      </c>
      <c r="D22" s="60" t="s">
        <v>45</v>
      </c>
      <c r="H22" s="58"/>
    </row>
    <row r="23" spans="2:16" s="36" customFormat="1" x14ac:dyDescent="0.35">
      <c r="C23" s="59" t="s">
        <v>36</v>
      </c>
      <c r="D23" s="60" t="s">
        <v>46</v>
      </c>
      <c r="H23" s="58"/>
    </row>
  </sheetData>
  <mergeCells count="1">
    <mergeCell ref="G1:K1"/>
  </mergeCells>
  <conditionalFormatting sqref="N2:N6">
    <cfRule type="cellIs" dxfId="3" priority="1" operator="equal">
      <formula>"Softball"</formula>
    </cfRule>
    <cfRule type="cellIs" dxfId="2" priority="2" operator="equal">
      <formula>"Baseball"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SCHEDULE</vt:lpstr>
      <vt:lpstr>BRACKET</vt:lpstr>
      <vt:lpstr>D27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</dc:creator>
  <cp:lastModifiedBy>Jeff Bennett</cp:lastModifiedBy>
  <cp:lastPrinted>2026-05-27T07:07:33Z</cp:lastPrinted>
  <dcterms:created xsi:type="dcterms:W3CDTF">2025-05-25T07:38:23Z</dcterms:created>
  <dcterms:modified xsi:type="dcterms:W3CDTF">2026-06-03T20:52:10Z</dcterms:modified>
</cp:coreProperties>
</file>